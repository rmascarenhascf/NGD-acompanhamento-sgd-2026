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grupoedsonqueiroz-my.sharepoint.com/personal/romulo_filho_nacionalgas_com_br/Documents/Área de Trabalho/Romulo/projetos/controle SGD 2026/"/>
    </mc:Choice>
  </mc:AlternateContent>
  <xr:revisionPtr revIDLastSave="3" documentId="13_ncr:1_{376E9310-5794-4512-9E91-E2E9F043735E}" xr6:coauthVersionLast="47" xr6:coauthVersionMax="47" xr10:uidLastSave="{B2B9F8E4-A017-4155-8621-DD48E6AFAED1}"/>
  <bookViews>
    <workbookView xWindow="28680" yWindow="-120" windowWidth="29040" windowHeight="15720" activeTab="2" xr2:uid="{00000000-000D-0000-FFFF-FFFF00000000}"/>
  </bookViews>
  <sheets>
    <sheet name="Painel" sheetId="1" r:id="rId1"/>
    <sheet name="Rotina" sheetId="3" r:id="rId2"/>
    <sheet name="Entrada" sheetId="5" r:id="rId3"/>
    <sheet name="Dashboard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6" l="1"/>
  <c r="D29" i="6"/>
  <c r="D28" i="6"/>
  <c r="D27" i="6"/>
  <c r="G23" i="6"/>
  <c r="F23" i="6"/>
  <c r="E23" i="6"/>
  <c r="D23" i="6"/>
  <c r="G22" i="6"/>
  <c r="F22" i="6"/>
  <c r="E22" i="6"/>
  <c r="D22" i="6"/>
  <c r="G21" i="6"/>
  <c r="F21" i="6"/>
  <c r="E21" i="6"/>
  <c r="D21" i="6"/>
  <c r="G17" i="6"/>
  <c r="F17" i="6"/>
  <c r="E17" i="6"/>
  <c r="D17" i="6"/>
  <c r="G16" i="6"/>
  <c r="F16" i="6"/>
  <c r="E16" i="6"/>
  <c r="D16" i="6"/>
  <c r="G15" i="6"/>
  <c r="F15" i="6"/>
  <c r="E15" i="6"/>
  <c r="D15" i="6"/>
  <c r="G14" i="6"/>
  <c r="F14" i="6"/>
  <c r="E14" i="6"/>
  <c r="D14" i="6"/>
  <c r="C10" i="6"/>
  <c r="C9" i="6"/>
  <c r="C8" i="6"/>
  <c r="C7" i="6"/>
  <c r="C6" i="6"/>
  <c r="D16" i="1"/>
  <c r="C16" i="1"/>
  <c r="B16" i="1"/>
  <c r="E16" i="1" s="1"/>
  <c r="D15" i="1"/>
  <c r="C15" i="1"/>
  <c r="B15" i="1"/>
  <c r="E15" i="1" s="1"/>
  <c r="D14" i="1"/>
  <c r="C14" i="1"/>
  <c r="B14" i="1"/>
  <c r="E14" i="1" s="1"/>
  <c r="D13" i="1"/>
  <c r="C13" i="1"/>
  <c r="B13" i="1"/>
  <c r="E13" i="1" s="1"/>
  <c r="B8" i="1"/>
  <c r="B7" i="1"/>
  <c r="B6" i="1"/>
  <c r="B9" i="1" s="1"/>
  <c r="C9" i="1" l="1"/>
  <c r="C6" i="1"/>
  <c r="C7" i="1"/>
  <c r="C8" i="1"/>
</calcChain>
</file>

<file path=xl/sharedStrings.xml><?xml version="1.0" encoding="utf-8"?>
<sst xmlns="http://schemas.openxmlformats.org/spreadsheetml/2006/main" count="423" uniqueCount="187">
  <si>
    <t>Painel de Acompanhamento SGD 2026</t>
  </si>
  <si>
    <t>Deadline geral: 30/11/2026 (férias da gestora 02–22/12)</t>
  </si>
  <si>
    <t>Contagem por status</t>
  </si>
  <si>
    <t>Status</t>
  </si>
  <si>
    <t>Entregáveis</t>
  </si>
  <si>
    <t>% do total</t>
  </si>
  <si>
    <t>Concluído</t>
  </si>
  <si>
    <t>Em andamento</t>
  </si>
  <si>
    <t>Não iniciado</t>
  </si>
  <si>
    <t>Total</t>
  </si>
  <si>
    <t>Status por Meta</t>
  </si>
  <si>
    <t>Meta</t>
  </si>
  <si>
    <t>Meta 1 — Manual de Padronização</t>
  </si>
  <si>
    <t>Meta 2 — Ações Comerciais 2º Sem.</t>
  </si>
  <si>
    <t>Meta 3 — Plataforma Condomínios</t>
  </si>
  <si>
    <t>Meta 4 — Canal Minha Revenda</t>
  </si>
  <si>
    <t>Marcos-chave</t>
  </si>
  <si>
    <t>Data</t>
  </si>
  <si>
    <t>Marco</t>
  </si>
  <si>
    <t>22/10/2026</t>
  </si>
  <si>
    <t>Reunião com revendedores — votação manual (padronização)</t>
  </si>
  <si>
    <t>23/10/2026</t>
  </si>
  <si>
    <t>Entrega da proposta de fluxo de acompanhamento</t>
  </si>
  <si>
    <t>30/11/2026</t>
  </si>
  <si>
    <t>Prazo final de encaminhamento de todas as entregas</t>
  </si>
  <si>
    <t>Início das férias da gestora (até 22/12)</t>
  </si>
  <si>
    <t>Fonte: aba Base (31 entregáveis). Dados atualizados semanalmente pela rotina de acompanhamento.</t>
  </si>
  <si>
    <t>Peso</t>
  </si>
  <si>
    <t>Nível</t>
  </si>
  <si>
    <t>Entregável</t>
  </si>
  <si>
    <t>Responsável</t>
  </si>
  <si>
    <t>Prazo</t>
  </si>
  <si>
    <t>Pendência</t>
  </si>
  <si>
    <t>Evidência</t>
  </si>
  <si>
    <t>Risco</t>
  </si>
  <si>
    <t>5%</t>
  </si>
  <si>
    <t>80%</t>
  </si>
  <si>
    <t>Manual revisado e estruturado para validação da Diretoria Comercial</t>
  </si>
  <si>
    <t>Depende da reunião 22/10</t>
  </si>
  <si>
    <t>Primeira versão reprovada pelo Augusto; nova versão para votação dos revendedores em 22/10</t>
  </si>
  <si>
    <t>Apresentação na reunião do dia 22</t>
  </si>
  <si>
    <t>Reprovação na votação atrasa todos os níveis seguintes</t>
  </si>
  <si>
    <t>Alinhamento aos conceitos do Programa de Excelência</t>
  </si>
  <si>
    <t>Hoodu</t>
  </si>
  <si>
    <t>—</t>
  </si>
  <si>
    <t>Nenhuma</t>
  </si>
  <si>
    <t>Consta na primeira versão do manual</t>
  </si>
  <si>
    <t>Orientações visuais, técnicas e operacionais para a rede</t>
  </si>
  <si>
    <t>100%</t>
  </si>
  <si>
    <t>Aprovação do manual pela Diretoria Comercial</t>
  </si>
  <si>
    <t>Diretoria Comercial</t>
  </si>
  <si>
    <t>Após 22/10</t>
  </si>
  <si>
    <t>Depende da aprovação na votação</t>
  </si>
  <si>
    <t>Ata de aprovação</t>
  </si>
  <si>
    <t>Reprovação ou atraso da reunião</t>
  </si>
  <si>
    <t>Inclusão do Pratinha sem alteração de identidade</t>
  </si>
  <si>
    <t>Após aprovação</t>
  </si>
  <si>
    <t>Depende do manual aprovado</t>
  </si>
  <si>
    <t>Versão final do manual</t>
  </si>
  <si>
    <t>Atraso em cadeia da Meta 1</t>
  </si>
  <si>
    <t>Disponibilização digital e distribuição física (1 exemplar por Consultor, GV e GM; 5 para a Matriz)</t>
  </si>
  <si>
    <t>A definir</t>
  </si>
  <si>
    <t>Quantitativos a confirmar</t>
  </si>
  <si>
    <t>Comprovantes de distribuição</t>
  </si>
  <si>
    <t>Prazo apertado até 30/11</t>
  </si>
  <si>
    <t>120%</t>
  </si>
  <si>
    <t>Dois guias rápidos ou materiais de consulta para a rede</t>
  </si>
  <si>
    <t>Materiais publicados</t>
  </si>
  <si>
    <t>Risco de não entrega no nível 120%</t>
  </si>
  <si>
    <t>10%</t>
  </si>
  <si>
    <t>Planejamento das ações do 2º semestre validado pela Diretoria Comercial</t>
  </si>
  <si>
    <t>Rômulo</t>
  </si>
  <si>
    <t>Planejamento enviado ao Augusto</t>
  </si>
  <si>
    <t>Lista de brindes no padrão visual e formato do Manual de Padronização</t>
  </si>
  <si>
    <t>Lista final</t>
  </si>
  <si>
    <t>Atraso na lista compromete as ações de fim de ano</t>
  </si>
  <si>
    <t>Confirmação de todas as ações e consolidação das evidências</t>
  </si>
  <si>
    <t>Caroline</t>
  </si>
  <si>
    <t>Confirmar as ações obrigatórias: Natal, Dia das Crianças, 3 Raspadinhas, 1 Fardamento (até setembro)</t>
  </si>
  <si>
    <t>Evidências das ações</t>
  </si>
  <si>
    <t>Falta de evidências para comprovação no SGD</t>
  </si>
  <si>
    <t>Atualização periódica do planejamento</t>
  </si>
  <si>
    <t>Semanal</t>
  </si>
  <si>
    <t>Rotina a formalizar</t>
  </si>
  <si>
    <t>Planilha/registro atualizado</t>
  </si>
  <si>
    <t>Registro das ações executadas e das pendências</t>
  </si>
  <si>
    <t>Caroline, Ligia, Patricia</t>
  </si>
  <si>
    <t>Definir ferramenta de controle: ata de reunião ou Power Apps</t>
  </si>
  <si>
    <t>Registro padronizado</t>
  </si>
  <si>
    <t>Ferramenta indefinida gera registros inconsistentes</t>
  </si>
  <si>
    <t>Consolidação dos valores previstos e realizados (R$)</t>
  </si>
  <si>
    <t>Consolidar dados financeiros das ações</t>
  </si>
  <si>
    <t>Planilha financeira consolidada</t>
  </si>
  <si>
    <t>Dados financeiros incompletos</t>
  </si>
  <si>
    <t>Melhorias no processo de planejamento e acompanhamento</t>
  </si>
  <si>
    <t>Documento de melhorias</t>
  </si>
  <si>
    <t>Proposta de evolução das ações comerciais para 2027</t>
  </si>
  <si>
    <t>Proposta 2027</t>
  </si>
  <si>
    <t>Posicionamento e proposta de valor</t>
  </si>
  <si>
    <t>Otavio</t>
  </si>
  <si>
    <t>Consolidar ativos existentes</t>
  </si>
  <si>
    <t>Book Comercial</t>
  </si>
  <si>
    <t>Identidade e arquitetura da plataforma</t>
  </si>
  <si>
    <t>Avaliar proposta da Hoodu/Goya pelo escopo completo (não apenas apresentação comercial)</t>
  </si>
  <si>
    <t>Proposta da Hoodu</t>
  </si>
  <si>
    <t>Escopo da proposta pode não cobrir o escopo completo</t>
  </si>
  <si>
    <t>Ativos prioritários desenvolvidos para validação</t>
  </si>
  <si>
    <t>Book Comercial e Executive Report concluídos; identificar o que falta desenvolver</t>
  </si>
  <si>
    <t>Book Comercial e Executive Report</t>
  </si>
  <si>
    <t>Pendência de definição do escopo completo</t>
  </si>
  <si>
    <t>Plataforma concluída com os ativos previstos para 2026</t>
  </si>
  <si>
    <t>Depende da validação da proposta Hoodu/Goya</t>
  </si>
  <si>
    <t>Plataforma finalizada</t>
  </si>
  <si>
    <t>Aprovação de orçamento e prazo</t>
  </si>
  <si>
    <t>Materiais validados e organizados para Comercial, Trade e Comunicação</t>
  </si>
  <si>
    <t>Definir como os materiais serão organizados</t>
  </si>
  <si>
    <t>Repositório de materiais</t>
  </si>
  <si>
    <t>Disponibilização dos ativos às áreas de negócio</t>
  </si>
  <si>
    <t>Comunicado de disponibilização</t>
  </si>
  <si>
    <t>Plano de evolução da plataforma para 2027</t>
  </si>
  <si>
    <t>Plano 2027</t>
  </si>
  <si>
    <t>Fluxo de solicitação, aprovação e publicação</t>
  </si>
  <si>
    <t>Consolidar aprovações do fluxo</t>
  </si>
  <si>
    <t>Documento do fluxo</t>
  </si>
  <si>
    <t>Formalização das responsabilidades</t>
  </si>
  <si>
    <t>Consolidar responsabilidades por área</t>
  </si>
  <si>
    <t>Documento de responsabilidades</t>
  </si>
  <si>
    <t>Guia de utilização do canal para Nacional Gás e Holding</t>
  </si>
  <si>
    <t>Verificar conclusão do guia</t>
  </si>
  <si>
    <t>Guia finalizado</t>
  </si>
  <si>
    <t>Implantação do fluxo aprovado</t>
  </si>
  <si>
    <t>Depende do fluxo aprovado</t>
  </si>
  <si>
    <t>Fluxo implantado</t>
  </si>
  <si>
    <t>Apoio às primeiras publicações das áreas participantes</t>
  </si>
  <si>
    <t>Depende da implantação</t>
  </si>
  <si>
    <t>Registro das publicações</t>
  </si>
  <si>
    <t>Registro das publicações realizadas conforme o processo</t>
  </si>
  <si>
    <t>Log de publicações</t>
  </si>
  <si>
    <t>Plano de evolução do canal para 2027</t>
  </si>
  <si>
    <t>Proposta de indicadores de utilização do canal</t>
  </si>
  <si>
    <t>Proposta de KPIs</t>
  </si>
  <si>
    <t>Cronograma de implantação e primeiras publicações</t>
  </si>
  <si>
    <t>Califórnia enviou proposta de KV; aguardando cronograma de execução</t>
  </si>
  <si>
    <t>Proposta de KV da Califórnia</t>
  </si>
  <si>
    <t>Cronograma de execução pendente</t>
  </si>
  <si>
    <t>Rotina de Acompanhamento SGD 2026</t>
  </si>
  <si>
    <t>Rotina semanal</t>
  </si>
  <si>
    <t>Dia</t>
  </si>
  <si>
    <t>Atividade</t>
  </si>
  <si>
    <t>Segunda-feira</t>
  </si>
  <si>
    <t>Cada responsável atualiza status, prazo e pendências da sua meta (mensagem padronizada ou formulário).</t>
  </si>
  <si>
    <t>Quarta-feira</t>
  </si>
  <si>
    <t>Rômulo consolida os dados na aba Base.</t>
  </si>
  <si>
    <t>Sexta-feira</t>
  </si>
  <si>
    <t>Publicação da visão consolidada (Painel) para a gestora.</t>
  </si>
  <si>
    <t>Marcos</t>
  </si>
  <si>
    <t>22/10</t>
  </si>
  <si>
    <t>Reunião de votação do Manual de Padronização com os revendedores.</t>
  </si>
  <si>
    <t>23/10</t>
  </si>
  <si>
    <t>Entrega da proposta de fluxo de acompanhamento.</t>
  </si>
  <si>
    <t>30/11</t>
  </si>
  <si>
    <t>Deadline geral de encaminhamento das entregas.</t>
  </si>
  <si>
    <t>02–22/12</t>
  </si>
  <si>
    <t>Férias da gestora.</t>
  </si>
  <si>
    <t>Papéis e responsabilidades</t>
  </si>
  <si>
    <t>Papel</t>
  </si>
  <si>
    <t>Responsabilidade</t>
  </si>
  <si>
    <t>Responsáveis de cada entrega</t>
  </si>
  <si>
    <t>Execução e cumprimento de prazos.</t>
  </si>
  <si>
    <t>Área de Dados (Rômulo)</t>
  </si>
  <si>
    <t>Estruturação, organização e acompanhamento das informações.</t>
  </si>
  <si>
    <t>Meta 2 — Ações Comerciais 2º Semestre</t>
  </si>
  <si>
    <t>Preencha apenas esta aba. Use as listas suspensas das colunas Meta, Nível e Status.</t>
  </si>
  <si>
    <t>Painel SGD 2026</t>
  </si>
  <si>
    <t>KPIs</t>
  </si>
  <si>
    <t>Total de entregáveis</t>
  </si>
  <si>
    <t>Concluídos</t>
  </si>
  <si>
    <t>Não iniciados</t>
  </si>
  <si>
    <t>% de conclusão</t>
  </si>
  <si>
    <t>Status por Nível</t>
  </si>
  <si>
    <t>Peso x Conclusão</t>
  </si>
  <si>
    <t>Peso da meta</t>
  </si>
  <si>
    <t>% concluído</t>
  </si>
  <si>
    <t>Reunião de votação do Manual</t>
  </si>
  <si>
    <t>Entrega da proposta de fluxo</t>
  </si>
  <si>
    <t>Prazo final de encaminhamento</t>
  </si>
  <si>
    <t>Início das férias da gestora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</si>
</sst>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3"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646AD3-4C11-4D1D-91B9-DAE475CFD399}" name="Tabela1" displayName="Tabela1" ref="A1:J32" totalsRowShown="0" headerRowDxfId="2" headerRowBorderDxfId="1" tableBorderDxfId="0">
  <autoFilter ref="A1:J32" xr:uid="{ED646AD3-4C11-4D1D-91B9-DAE475CFD399}"/>
  <tableColumns count="10">
    <tableColumn id="1" xr3:uid="{58DE3A47-3682-42D4-A6CF-214C820E7D89}" name="Meta"/>
    <tableColumn id="2" xr3:uid="{0B8B068B-715E-4F92-8C70-146993135FDC}" name="Peso"/>
    <tableColumn id="3" xr3:uid="{9F397820-F262-4D9C-B49D-67E1DEF8DEAF}" name="Nível"/>
    <tableColumn id="4" xr3:uid="{FCBE71BA-8450-452E-95C3-71C840A491E3}" name="Entregável"/>
    <tableColumn id="5" xr3:uid="{B38DC47F-3F50-4E0B-A50B-F7FC2847127D}" name="Status"/>
    <tableColumn id="6" xr3:uid="{82BA7539-86EF-403F-8AEB-12FDDCFAB80F}" name="Responsável"/>
    <tableColumn id="7" xr3:uid="{504FBB91-56B5-4A00-AE73-23105EC1062C}" name="Prazo"/>
    <tableColumn id="8" xr3:uid="{D15BDC47-593F-4BB8-A14E-FFAB03BF874F}" name="Pendência"/>
    <tableColumn id="9" xr3:uid="{8F78EAD1-B167-4FD2-8BC5-5BEF33EF5CDD}" name="Evidência"/>
    <tableColumn id="10" xr3:uid="{F8DACA70-C5EC-4971-933F-46AB4AE645BF}" name="Risc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workbookViewId="0">
      <selection activeCell="A19" sqref="A19"/>
    </sheetView>
  </sheetViews>
  <sheetFormatPr defaultRowHeight="15.5" x14ac:dyDescent="0.35"/>
  <cols>
    <col min="1" max="1" width="85.5" bestFit="1" customWidth="1"/>
    <col min="2" max="2" width="52.75" bestFit="1" customWidth="1"/>
    <col min="3" max="3" width="13.4140625" bestFit="1" customWidth="1"/>
    <col min="4" max="4" width="11.1640625" bestFit="1" customWidth="1"/>
    <col min="5" max="5" width="5" bestFit="1" customWidth="1"/>
  </cols>
  <sheetData>
    <row r="1" spans="1:5" x14ac:dyDescent="0.35">
      <c r="A1" t="s">
        <v>0</v>
      </c>
    </row>
    <row r="2" spans="1:5" x14ac:dyDescent="0.35">
      <c r="A2" t="s">
        <v>1</v>
      </c>
    </row>
    <row r="4" spans="1:5" x14ac:dyDescent="0.35">
      <c r="A4" t="s">
        <v>2</v>
      </c>
    </row>
    <row r="5" spans="1:5" x14ac:dyDescent="0.35">
      <c r="A5" t="s">
        <v>3</v>
      </c>
      <c r="B5" t="s">
        <v>4</v>
      </c>
      <c r="C5" t="s">
        <v>5</v>
      </c>
    </row>
    <row r="6" spans="1:5" x14ac:dyDescent="0.35">
      <c r="A6" t="s">
        <v>6</v>
      </c>
      <c r="B6" t="e">
        <f>COUNTIF(#REF!,"Concluído")</f>
        <v>#REF!</v>
      </c>
      <c r="C6" t="e">
        <f>IF($B$9=0,0,B6/$B$9)</f>
        <v>#REF!</v>
      </c>
    </row>
    <row r="7" spans="1:5" x14ac:dyDescent="0.35">
      <c r="A7" t="s">
        <v>7</v>
      </c>
      <c r="B7" t="e">
        <f>COUNTIF(#REF!,"Em andamento")</f>
        <v>#REF!</v>
      </c>
      <c r="C7" t="e">
        <f>IF($B$9=0,0,B7/$B$9)</f>
        <v>#REF!</v>
      </c>
    </row>
    <row r="8" spans="1:5" x14ac:dyDescent="0.35">
      <c r="A8" t="s">
        <v>8</v>
      </c>
      <c r="B8" t="e">
        <f>COUNTIF(#REF!,"Não iniciado")</f>
        <v>#REF!</v>
      </c>
      <c r="C8" t="e">
        <f>IF($B$9=0,0,B8/$B$9)</f>
        <v>#REF!</v>
      </c>
    </row>
    <row r="9" spans="1:5" x14ac:dyDescent="0.35">
      <c r="A9" t="s">
        <v>9</v>
      </c>
      <c r="B9" t="e">
        <f>SUM(B6:B8)</f>
        <v>#REF!</v>
      </c>
      <c r="C9" t="e">
        <f>IF(B9=0,0,1)</f>
        <v>#REF!</v>
      </c>
    </row>
    <row r="11" spans="1:5" x14ac:dyDescent="0.35">
      <c r="A11" t="s">
        <v>10</v>
      </c>
    </row>
    <row r="12" spans="1:5" x14ac:dyDescent="0.35">
      <c r="A12" t="s">
        <v>11</v>
      </c>
      <c r="B12" t="s">
        <v>6</v>
      </c>
      <c r="C12" t="s">
        <v>7</v>
      </c>
      <c r="D12" t="s">
        <v>8</v>
      </c>
      <c r="E12" t="s">
        <v>9</v>
      </c>
    </row>
    <row r="13" spans="1:5" x14ac:dyDescent="0.35">
      <c r="A13" t="s">
        <v>12</v>
      </c>
      <c r="B13" t="e">
        <f>COUNTIFS(#REF!,"Meta 1 — Manual de Padronização da Rede de Revendas",#REF!,"Concluído")</f>
        <v>#REF!</v>
      </c>
      <c r="C13" t="e">
        <f>COUNTIFS(#REF!,"Meta 1 — Manual de Padronização da Rede de Revendas",#REF!,"Em andamento")</f>
        <v>#REF!</v>
      </c>
      <c r="D13" t="e">
        <f>COUNTIFS(#REF!,"Meta 1 — Manual de Padronização da Rede de Revendas",#REF!,"Não iniciado")</f>
        <v>#REF!</v>
      </c>
      <c r="E13" t="e">
        <f>SUM(B13:D13)</f>
        <v>#REF!</v>
      </c>
    </row>
    <row r="14" spans="1:5" x14ac:dyDescent="0.35">
      <c r="A14" t="s">
        <v>13</v>
      </c>
      <c r="B14" t="e">
        <f>COUNTIFS(#REF!,"Meta 2 — Ações Comerciais do 2º Semestre",#REF!,"Concluído")</f>
        <v>#REF!</v>
      </c>
      <c r="C14" t="e">
        <f>COUNTIFS(#REF!,"Meta 2 — Ações Comerciais do 2º Semestre",#REF!,"Em andamento")</f>
        <v>#REF!</v>
      </c>
      <c r="D14" t="e">
        <f>COUNTIFS(#REF!,"Meta 2 — Ações Comerciais do 2º Semestre",#REF!,"Não iniciado")</f>
        <v>#REF!</v>
      </c>
      <c r="E14" t="e">
        <f>SUM(B14:D14)</f>
        <v>#REF!</v>
      </c>
    </row>
    <row r="15" spans="1:5" x14ac:dyDescent="0.35">
      <c r="A15" t="s">
        <v>14</v>
      </c>
      <c r="B15" t="e">
        <f>COUNTIFS(#REF!,"Meta 3 — Plataforma Condomínios Nacional Gás",#REF!,"Concluído")</f>
        <v>#REF!</v>
      </c>
      <c r="C15" t="e">
        <f>COUNTIFS(#REF!,"Meta 3 — Plataforma Condomínios Nacional Gás",#REF!,"Em andamento")</f>
        <v>#REF!</v>
      </c>
      <c r="D15" t="e">
        <f>COUNTIFS(#REF!,"Meta 3 — Plataforma Condomínios Nacional Gás",#REF!,"Não iniciado")</f>
        <v>#REF!</v>
      </c>
      <c r="E15" t="e">
        <f>SUM(B15:D15)</f>
        <v>#REF!</v>
      </c>
    </row>
    <row r="16" spans="1:5" x14ac:dyDescent="0.35">
      <c r="A16" t="s">
        <v>15</v>
      </c>
      <c r="B16" t="e">
        <f>COUNTIFS(#REF!,"Meta 4 — Governança do Canal Minha Revenda – Fique por Dentro",#REF!,"Concluído")</f>
        <v>#REF!</v>
      </c>
      <c r="C16" t="e">
        <f>COUNTIFS(#REF!,"Meta 4 — Governança do Canal Minha Revenda – Fique por Dentro",#REF!,"Em andamento")</f>
        <v>#REF!</v>
      </c>
      <c r="D16" t="e">
        <f>COUNTIFS(#REF!,"Meta 4 — Governança do Canal Minha Revenda – Fique por Dentro",#REF!,"Não iniciado")</f>
        <v>#REF!</v>
      </c>
      <c r="E16" t="e">
        <f>SUM(B16:D16)</f>
        <v>#REF!</v>
      </c>
    </row>
    <row r="18" spans="1:2" x14ac:dyDescent="0.35">
      <c r="A18" t="s">
        <v>16</v>
      </c>
    </row>
    <row r="19" spans="1:2" x14ac:dyDescent="0.35">
      <c r="A19" t="s">
        <v>17</v>
      </c>
      <c r="B19" t="s">
        <v>18</v>
      </c>
    </row>
    <row r="20" spans="1:2" x14ac:dyDescent="0.35">
      <c r="A20" t="s">
        <v>19</v>
      </c>
      <c r="B20" t="s">
        <v>20</v>
      </c>
    </row>
    <row r="21" spans="1:2" x14ac:dyDescent="0.35">
      <c r="A21" t="s">
        <v>21</v>
      </c>
      <c r="B21" t="s">
        <v>22</v>
      </c>
    </row>
    <row r="22" spans="1:2" x14ac:dyDescent="0.35">
      <c r="A22" t="s">
        <v>23</v>
      </c>
      <c r="B22" t="s">
        <v>24</v>
      </c>
    </row>
    <row r="23" spans="1:2" x14ac:dyDescent="0.35">
      <c r="A23" s="1">
        <v>46065</v>
      </c>
      <c r="B23" t="s">
        <v>25</v>
      </c>
    </row>
    <row r="25" spans="1:2" x14ac:dyDescent="0.35">
      <c r="A25" t="s">
        <v>26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</oddFooter>
  </headerFooter>
  <ignoredErrors>
    <ignoredError sqref="A1:E2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workbookViewId="0">
      <selection activeCell="A17" sqref="A17"/>
    </sheetView>
  </sheetViews>
  <sheetFormatPr defaultRowHeight="15.5" x14ac:dyDescent="0.35"/>
  <cols>
    <col min="1" max="1" width="33.08203125" bestFit="1" customWidth="1"/>
    <col min="2" max="2" width="90" bestFit="1" customWidth="1"/>
  </cols>
  <sheetData>
    <row r="1" spans="1:2" x14ac:dyDescent="0.35">
      <c r="A1" t="s">
        <v>145</v>
      </c>
    </row>
    <row r="3" spans="1:2" x14ac:dyDescent="0.35">
      <c r="A3" t="s">
        <v>146</v>
      </c>
    </row>
    <row r="4" spans="1:2" x14ac:dyDescent="0.35">
      <c r="A4" t="s">
        <v>147</v>
      </c>
      <c r="B4" t="s">
        <v>148</v>
      </c>
    </row>
    <row r="5" spans="1:2" x14ac:dyDescent="0.35">
      <c r="A5" t="s">
        <v>149</v>
      </c>
      <c r="B5" t="s">
        <v>150</v>
      </c>
    </row>
    <row r="6" spans="1:2" x14ac:dyDescent="0.35">
      <c r="A6" t="s">
        <v>151</v>
      </c>
      <c r="B6" t="s">
        <v>152</v>
      </c>
    </row>
    <row r="7" spans="1:2" x14ac:dyDescent="0.35">
      <c r="A7" t="s">
        <v>153</v>
      </c>
      <c r="B7" t="s">
        <v>154</v>
      </c>
    </row>
    <row r="9" spans="1:2" x14ac:dyDescent="0.35">
      <c r="A9" t="s">
        <v>155</v>
      </c>
    </row>
    <row r="10" spans="1:2" x14ac:dyDescent="0.35">
      <c r="A10" t="s">
        <v>17</v>
      </c>
      <c r="B10" t="s">
        <v>18</v>
      </c>
    </row>
    <row r="11" spans="1:2" x14ac:dyDescent="0.35">
      <c r="A11" t="s">
        <v>156</v>
      </c>
      <c r="B11" t="s">
        <v>157</v>
      </c>
    </row>
    <row r="12" spans="1:2" x14ac:dyDescent="0.35">
      <c r="A12" t="s">
        <v>158</v>
      </c>
      <c r="B12" t="s">
        <v>159</v>
      </c>
    </row>
    <row r="13" spans="1:2" x14ac:dyDescent="0.35">
      <c r="A13" t="s">
        <v>160</v>
      </c>
      <c r="B13" t="s">
        <v>161</v>
      </c>
    </row>
    <row r="14" spans="1:2" x14ac:dyDescent="0.35">
      <c r="A14" t="s">
        <v>162</v>
      </c>
      <c r="B14" t="s">
        <v>163</v>
      </c>
    </row>
    <row r="16" spans="1:2" x14ac:dyDescent="0.35">
      <c r="A16" t="s">
        <v>164</v>
      </c>
    </row>
    <row r="17" spans="1:2" x14ac:dyDescent="0.35">
      <c r="A17" t="s">
        <v>165</v>
      </c>
      <c r="B17" t="s">
        <v>166</v>
      </c>
    </row>
    <row r="18" spans="1:2" x14ac:dyDescent="0.35">
      <c r="A18" t="s">
        <v>167</v>
      </c>
      <c r="B18" t="s">
        <v>168</v>
      </c>
    </row>
    <row r="19" spans="1:2" x14ac:dyDescent="0.35">
      <c r="A19" t="s">
        <v>169</v>
      </c>
      <c r="B19" t="s">
        <v>170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</oddFooter>
  </headerFooter>
  <ignoredErrors>
    <ignoredError sqref="A1:B1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tabSelected="1" zoomScale="74" workbookViewId="0">
      <selection activeCell="E36" sqref="E36"/>
    </sheetView>
  </sheetViews>
  <sheetFormatPr defaultRowHeight="15.5" x14ac:dyDescent="0.35"/>
  <cols>
    <col min="1" max="1" width="34.83203125" bestFit="1" customWidth="1"/>
    <col min="2" max="2" width="6.58203125" customWidth="1"/>
    <col min="3" max="3" width="6.83203125" customWidth="1"/>
    <col min="4" max="4" width="81.83203125" bestFit="1" customWidth="1"/>
    <col min="5" max="5" width="13.4140625" bestFit="1" customWidth="1"/>
    <col min="6" max="6" width="19.83203125" bestFit="1" customWidth="1"/>
    <col min="7" max="7" width="23" bestFit="1" customWidth="1"/>
    <col min="8" max="8" width="86.5" bestFit="1" customWidth="1"/>
    <col min="9" max="9" width="31.83203125" bestFit="1" customWidth="1"/>
    <col min="10" max="10" width="47.5" bestFit="1" customWidth="1"/>
    <col min="12" max="12" width="72" bestFit="1" customWidth="1"/>
  </cols>
  <sheetData>
    <row r="1" spans="1:12" s="3" customFormat="1" x14ac:dyDescent="0.35">
      <c r="A1" s="4" t="s">
        <v>11</v>
      </c>
      <c r="B1" s="4" t="s">
        <v>27</v>
      </c>
      <c r="C1" s="4" t="s">
        <v>28</v>
      </c>
      <c r="D1" s="4" t="s">
        <v>29</v>
      </c>
      <c r="E1" s="4" t="s">
        <v>3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L1" t="s">
        <v>172</v>
      </c>
    </row>
    <row r="2" spans="1:12" x14ac:dyDescent="0.35">
      <c r="A2" t="s">
        <v>12</v>
      </c>
      <c r="B2" t="s">
        <v>35</v>
      </c>
      <c r="C2" t="s">
        <v>36</v>
      </c>
      <c r="D2" t="s">
        <v>37</v>
      </c>
      <c r="E2" t="s">
        <v>7</v>
      </c>
      <c r="F2" t="s">
        <v>43</v>
      </c>
      <c r="G2" t="s">
        <v>38</v>
      </c>
      <c r="H2" t="s">
        <v>39</v>
      </c>
      <c r="I2" t="s">
        <v>40</v>
      </c>
      <c r="J2" t="s">
        <v>41</v>
      </c>
    </row>
    <row r="3" spans="1:12" x14ac:dyDescent="0.35">
      <c r="A3" t="s">
        <v>12</v>
      </c>
      <c r="B3" t="s">
        <v>35</v>
      </c>
      <c r="C3" t="s">
        <v>36</v>
      </c>
      <c r="D3" t="s">
        <v>42</v>
      </c>
      <c r="E3" t="s">
        <v>6</v>
      </c>
      <c r="F3" t="s">
        <v>43</v>
      </c>
      <c r="G3" t="s">
        <v>44</v>
      </c>
      <c r="H3" t="s">
        <v>45</v>
      </c>
      <c r="I3" t="s">
        <v>46</v>
      </c>
      <c r="J3" t="s">
        <v>44</v>
      </c>
    </row>
    <row r="4" spans="1:12" x14ac:dyDescent="0.35">
      <c r="A4" t="s">
        <v>12</v>
      </c>
      <c r="B4" t="s">
        <v>35</v>
      </c>
      <c r="C4" t="s">
        <v>36</v>
      </c>
      <c r="D4" t="s">
        <v>47</v>
      </c>
      <c r="E4" t="s">
        <v>6</v>
      </c>
      <c r="F4" t="s">
        <v>43</v>
      </c>
      <c r="G4" t="s">
        <v>44</v>
      </c>
      <c r="H4" t="s">
        <v>45</v>
      </c>
      <c r="I4" t="s">
        <v>46</v>
      </c>
      <c r="J4" t="s">
        <v>44</v>
      </c>
    </row>
    <row r="5" spans="1:12" x14ac:dyDescent="0.35">
      <c r="A5" t="s">
        <v>12</v>
      </c>
      <c r="B5" t="s">
        <v>35</v>
      </c>
      <c r="C5" t="s">
        <v>48</v>
      </c>
      <c r="D5" t="s">
        <v>49</v>
      </c>
      <c r="E5" t="s">
        <v>8</v>
      </c>
      <c r="F5" t="s">
        <v>50</v>
      </c>
      <c r="G5" t="s">
        <v>51</v>
      </c>
      <c r="H5" t="s">
        <v>52</v>
      </c>
      <c r="I5" t="s">
        <v>53</v>
      </c>
      <c r="J5" t="s">
        <v>54</v>
      </c>
    </row>
    <row r="6" spans="1:12" x14ac:dyDescent="0.35">
      <c r="A6" t="s">
        <v>12</v>
      </c>
      <c r="B6" t="s">
        <v>35</v>
      </c>
      <c r="C6" t="s">
        <v>48</v>
      </c>
      <c r="D6" t="s">
        <v>55</v>
      </c>
      <c r="E6" t="s">
        <v>8</v>
      </c>
      <c r="F6" t="s">
        <v>43</v>
      </c>
      <c r="G6" t="s">
        <v>56</v>
      </c>
      <c r="H6" t="s">
        <v>57</v>
      </c>
      <c r="I6" t="s">
        <v>58</v>
      </c>
      <c r="J6" t="s">
        <v>59</v>
      </c>
    </row>
    <row r="7" spans="1:12" x14ac:dyDescent="0.35">
      <c r="A7" t="s">
        <v>12</v>
      </c>
      <c r="B7" t="s">
        <v>35</v>
      </c>
      <c r="C7" t="s">
        <v>48</v>
      </c>
      <c r="D7" t="s">
        <v>60</v>
      </c>
      <c r="E7" t="s">
        <v>8</v>
      </c>
      <c r="F7" t="s">
        <v>61</v>
      </c>
      <c r="G7" t="s">
        <v>56</v>
      </c>
      <c r="H7" t="s">
        <v>62</v>
      </c>
      <c r="I7" t="s">
        <v>63</v>
      </c>
      <c r="J7" t="s">
        <v>64</v>
      </c>
    </row>
    <row r="8" spans="1:12" x14ac:dyDescent="0.35">
      <c r="A8" t="s">
        <v>12</v>
      </c>
      <c r="B8" t="s">
        <v>35</v>
      </c>
      <c r="C8" t="s">
        <v>65</v>
      </c>
      <c r="D8" t="s">
        <v>66</v>
      </c>
      <c r="E8" t="s">
        <v>8</v>
      </c>
      <c r="F8" t="s">
        <v>61</v>
      </c>
      <c r="G8" t="s">
        <v>61</v>
      </c>
      <c r="H8" t="s">
        <v>8</v>
      </c>
      <c r="I8" t="s">
        <v>67</v>
      </c>
      <c r="J8" t="s">
        <v>68</v>
      </c>
    </row>
    <row r="9" spans="1:12" x14ac:dyDescent="0.35">
      <c r="A9" t="s">
        <v>171</v>
      </c>
      <c r="B9" t="s">
        <v>69</v>
      </c>
      <c r="C9" t="s">
        <v>36</v>
      </c>
      <c r="D9" t="s">
        <v>70</v>
      </c>
      <c r="E9" t="s">
        <v>6</v>
      </c>
      <c r="F9" t="s">
        <v>71</v>
      </c>
      <c r="G9" t="s">
        <v>44</v>
      </c>
      <c r="H9" t="s">
        <v>45</v>
      </c>
      <c r="I9" t="s">
        <v>72</v>
      </c>
      <c r="J9" t="s">
        <v>44</v>
      </c>
    </row>
    <row r="10" spans="1:12" x14ac:dyDescent="0.35">
      <c r="A10" t="s">
        <v>171</v>
      </c>
      <c r="B10" t="s">
        <v>69</v>
      </c>
      <c r="C10" t="s">
        <v>36</v>
      </c>
      <c r="D10" t="s">
        <v>73</v>
      </c>
      <c r="E10" t="s">
        <v>8</v>
      </c>
      <c r="F10" t="s">
        <v>61</v>
      </c>
      <c r="G10" t="s">
        <v>61</v>
      </c>
      <c r="H10" t="s">
        <v>8</v>
      </c>
      <c r="I10" t="s">
        <v>74</v>
      </c>
      <c r="J10" t="s">
        <v>75</v>
      </c>
    </row>
    <row r="11" spans="1:12" x14ac:dyDescent="0.35">
      <c r="A11" t="s">
        <v>171</v>
      </c>
      <c r="B11" t="s">
        <v>69</v>
      </c>
      <c r="C11" t="s">
        <v>36</v>
      </c>
      <c r="D11" t="s">
        <v>76</v>
      </c>
      <c r="E11" t="s">
        <v>7</v>
      </c>
      <c r="F11" t="s">
        <v>77</v>
      </c>
      <c r="G11" t="s">
        <v>61</v>
      </c>
      <c r="H11" t="s">
        <v>78</v>
      </c>
      <c r="I11" t="s">
        <v>79</v>
      </c>
      <c r="J11" t="s">
        <v>80</v>
      </c>
    </row>
    <row r="12" spans="1:12" x14ac:dyDescent="0.35">
      <c r="A12" t="s">
        <v>171</v>
      </c>
      <c r="B12" t="s">
        <v>69</v>
      </c>
      <c r="C12" t="s">
        <v>48</v>
      </c>
      <c r="D12" t="s">
        <v>81</v>
      </c>
      <c r="E12" t="s">
        <v>7</v>
      </c>
      <c r="F12" t="s">
        <v>77</v>
      </c>
      <c r="G12" t="s">
        <v>82</v>
      </c>
      <c r="H12" t="s">
        <v>83</v>
      </c>
      <c r="I12" t="s">
        <v>84</v>
      </c>
      <c r="J12" t="s">
        <v>44</v>
      </c>
    </row>
    <row r="13" spans="1:12" x14ac:dyDescent="0.35">
      <c r="A13" t="s">
        <v>171</v>
      </c>
      <c r="B13" t="s">
        <v>69</v>
      </c>
      <c r="C13" t="s">
        <v>48</v>
      </c>
      <c r="D13" t="s">
        <v>85</v>
      </c>
      <c r="E13" t="s">
        <v>7</v>
      </c>
      <c r="F13" t="s">
        <v>86</v>
      </c>
      <c r="G13" t="s">
        <v>61</v>
      </c>
      <c r="H13" t="s">
        <v>87</v>
      </c>
      <c r="I13" t="s">
        <v>88</v>
      </c>
      <c r="J13" t="s">
        <v>89</v>
      </c>
    </row>
    <row r="14" spans="1:12" x14ac:dyDescent="0.35">
      <c r="A14" t="s">
        <v>171</v>
      </c>
      <c r="B14" t="s">
        <v>69</v>
      </c>
      <c r="C14" t="s">
        <v>48</v>
      </c>
      <c r="D14" t="s">
        <v>90</v>
      </c>
      <c r="E14" t="s">
        <v>7</v>
      </c>
      <c r="F14" t="s">
        <v>71</v>
      </c>
      <c r="G14" t="s">
        <v>82</v>
      </c>
      <c r="H14" t="s">
        <v>91</v>
      </c>
      <c r="I14" t="s">
        <v>92</v>
      </c>
      <c r="J14" t="s">
        <v>93</v>
      </c>
    </row>
    <row r="15" spans="1:12" x14ac:dyDescent="0.35">
      <c r="A15" t="s">
        <v>171</v>
      </c>
      <c r="B15" t="s">
        <v>69</v>
      </c>
      <c r="C15" t="s">
        <v>65</v>
      </c>
      <c r="D15" t="s">
        <v>94</v>
      </c>
      <c r="E15" t="s">
        <v>8</v>
      </c>
      <c r="F15" t="s">
        <v>61</v>
      </c>
      <c r="G15" t="s">
        <v>61</v>
      </c>
      <c r="H15" t="s">
        <v>8</v>
      </c>
      <c r="I15" t="s">
        <v>95</v>
      </c>
      <c r="J15" t="s">
        <v>68</v>
      </c>
    </row>
    <row r="16" spans="1:12" x14ac:dyDescent="0.35">
      <c r="A16" t="s">
        <v>171</v>
      </c>
      <c r="B16" t="s">
        <v>69</v>
      </c>
      <c r="C16" t="s">
        <v>65</v>
      </c>
      <c r="D16" t="s">
        <v>96</v>
      </c>
      <c r="E16" t="s">
        <v>8</v>
      </c>
      <c r="F16" t="s">
        <v>61</v>
      </c>
      <c r="G16" t="s">
        <v>61</v>
      </c>
      <c r="H16" t="s">
        <v>8</v>
      </c>
      <c r="I16" t="s">
        <v>97</v>
      </c>
      <c r="J16" t="s">
        <v>68</v>
      </c>
    </row>
    <row r="17" spans="1:10" x14ac:dyDescent="0.35">
      <c r="A17" t="s">
        <v>14</v>
      </c>
      <c r="B17" t="s">
        <v>69</v>
      </c>
      <c r="C17" t="s">
        <v>36</v>
      </c>
      <c r="D17" t="s">
        <v>98</v>
      </c>
      <c r="E17" t="s">
        <v>7</v>
      </c>
      <c r="F17" t="s">
        <v>99</v>
      </c>
      <c r="G17" t="s">
        <v>61</v>
      </c>
      <c r="H17" t="s">
        <v>100</v>
      </c>
      <c r="I17" t="s">
        <v>101</v>
      </c>
      <c r="J17" t="s">
        <v>44</v>
      </c>
    </row>
    <row r="18" spans="1:10" x14ac:dyDescent="0.35">
      <c r="A18" t="s">
        <v>14</v>
      </c>
      <c r="B18" t="s">
        <v>69</v>
      </c>
      <c r="C18" t="s">
        <v>36</v>
      </c>
      <c r="D18" t="s">
        <v>102</v>
      </c>
      <c r="E18" t="s">
        <v>7</v>
      </c>
      <c r="F18" t="s">
        <v>99</v>
      </c>
      <c r="G18" t="s">
        <v>61</v>
      </c>
      <c r="H18" t="s">
        <v>103</v>
      </c>
      <c r="I18" t="s">
        <v>104</v>
      </c>
      <c r="J18" t="s">
        <v>105</v>
      </c>
    </row>
    <row r="19" spans="1:10" x14ac:dyDescent="0.35">
      <c r="A19" t="s">
        <v>14</v>
      </c>
      <c r="B19" t="s">
        <v>69</v>
      </c>
      <c r="C19" t="s">
        <v>36</v>
      </c>
      <c r="D19" t="s">
        <v>106</v>
      </c>
      <c r="E19" t="s">
        <v>7</v>
      </c>
      <c r="F19" t="s">
        <v>99</v>
      </c>
      <c r="G19" t="s">
        <v>61</v>
      </c>
      <c r="H19" t="s">
        <v>107</v>
      </c>
      <c r="I19" t="s">
        <v>108</v>
      </c>
      <c r="J19" t="s">
        <v>109</v>
      </c>
    </row>
    <row r="20" spans="1:10" x14ac:dyDescent="0.35">
      <c r="A20" t="s">
        <v>14</v>
      </c>
      <c r="B20" t="s">
        <v>69</v>
      </c>
      <c r="C20" t="s">
        <v>48</v>
      </c>
      <c r="D20" t="s">
        <v>110</v>
      </c>
      <c r="E20" t="s">
        <v>8</v>
      </c>
      <c r="F20" t="s">
        <v>99</v>
      </c>
      <c r="G20" t="s">
        <v>61</v>
      </c>
      <c r="H20" t="s">
        <v>111</v>
      </c>
      <c r="I20" t="s">
        <v>112</v>
      </c>
      <c r="J20" t="s">
        <v>113</v>
      </c>
    </row>
    <row r="21" spans="1:10" x14ac:dyDescent="0.35">
      <c r="A21" t="s">
        <v>14</v>
      </c>
      <c r="B21" t="s">
        <v>69</v>
      </c>
      <c r="C21" t="s">
        <v>48</v>
      </c>
      <c r="D21" t="s">
        <v>114</v>
      </c>
      <c r="E21" t="s">
        <v>8</v>
      </c>
      <c r="F21" t="s">
        <v>99</v>
      </c>
      <c r="G21" t="s">
        <v>61</v>
      </c>
      <c r="H21" t="s">
        <v>115</v>
      </c>
      <c r="I21" t="s">
        <v>116</v>
      </c>
      <c r="J21" t="s">
        <v>44</v>
      </c>
    </row>
    <row r="22" spans="1:10" x14ac:dyDescent="0.35">
      <c r="A22" t="s">
        <v>14</v>
      </c>
      <c r="B22" t="s">
        <v>69</v>
      </c>
      <c r="C22" t="s">
        <v>48</v>
      </c>
      <c r="D22" t="s">
        <v>117</v>
      </c>
      <c r="E22" t="s">
        <v>8</v>
      </c>
      <c r="F22" t="s">
        <v>99</v>
      </c>
      <c r="G22" t="s">
        <v>61</v>
      </c>
      <c r="H22" t="s">
        <v>8</v>
      </c>
      <c r="I22" t="s">
        <v>118</v>
      </c>
      <c r="J22" t="s">
        <v>44</v>
      </c>
    </row>
    <row r="23" spans="1:10" x14ac:dyDescent="0.35">
      <c r="A23" t="s">
        <v>14</v>
      </c>
      <c r="B23" t="s">
        <v>69</v>
      </c>
      <c r="C23" t="s">
        <v>65</v>
      </c>
      <c r="D23" t="s">
        <v>119</v>
      </c>
      <c r="E23" t="s">
        <v>8</v>
      </c>
      <c r="F23" t="s">
        <v>99</v>
      </c>
      <c r="G23" t="s">
        <v>61</v>
      </c>
      <c r="H23" t="s">
        <v>8</v>
      </c>
      <c r="I23" t="s">
        <v>120</v>
      </c>
      <c r="J23" t="s">
        <v>68</v>
      </c>
    </row>
    <row r="24" spans="1:10" x14ac:dyDescent="0.35">
      <c r="A24" t="s">
        <v>15</v>
      </c>
      <c r="B24" t="s">
        <v>69</v>
      </c>
      <c r="C24" t="s">
        <v>36</v>
      </c>
      <c r="D24" t="s">
        <v>121</v>
      </c>
      <c r="E24" t="s">
        <v>7</v>
      </c>
      <c r="F24" t="s">
        <v>61</v>
      </c>
      <c r="G24" t="s">
        <v>61</v>
      </c>
      <c r="H24" t="s">
        <v>122</v>
      </c>
      <c r="I24" t="s">
        <v>123</v>
      </c>
      <c r="J24" t="s">
        <v>44</v>
      </c>
    </row>
    <row r="25" spans="1:10" x14ac:dyDescent="0.35">
      <c r="A25" t="s">
        <v>15</v>
      </c>
      <c r="B25" t="s">
        <v>69</v>
      </c>
      <c r="C25" t="s">
        <v>36</v>
      </c>
      <c r="D25" t="s">
        <v>124</v>
      </c>
      <c r="E25" t="s">
        <v>7</v>
      </c>
      <c r="F25" t="s">
        <v>61</v>
      </c>
      <c r="G25" t="s">
        <v>61</v>
      </c>
      <c r="H25" t="s">
        <v>125</v>
      </c>
      <c r="I25" t="s">
        <v>126</v>
      </c>
      <c r="J25" t="s">
        <v>44</v>
      </c>
    </row>
    <row r="26" spans="1:10" x14ac:dyDescent="0.35">
      <c r="A26" t="s">
        <v>15</v>
      </c>
      <c r="B26" t="s">
        <v>69</v>
      </c>
      <c r="C26" t="s">
        <v>36</v>
      </c>
      <c r="D26" t="s">
        <v>127</v>
      </c>
      <c r="E26" t="s">
        <v>7</v>
      </c>
      <c r="F26" t="s">
        <v>61</v>
      </c>
      <c r="G26" t="s">
        <v>61</v>
      </c>
      <c r="H26" t="s">
        <v>128</v>
      </c>
      <c r="I26" t="s">
        <v>129</v>
      </c>
      <c r="J26" t="s">
        <v>44</v>
      </c>
    </row>
    <row r="27" spans="1:10" x14ac:dyDescent="0.35">
      <c r="A27" t="s">
        <v>15</v>
      </c>
      <c r="B27" t="s">
        <v>69</v>
      </c>
      <c r="C27" t="s">
        <v>48</v>
      </c>
      <c r="D27" t="s">
        <v>130</v>
      </c>
      <c r="E27" t="s">
        <v>8</v>
      </c>
      <c r="F27" t="s">
        <v>61</v>
      </c>
      <c r="G27" t="s">
        <v>61</v>
      </c>
      <c r="H27" t="s">
        <v>131</v>
      </c>
      <c r="I27" t="s">
        <v>132</v>
      </c>
      <c r="J27" t="s">
        <v>44</v>
      </c>
    </row>
    <row r="28" spans="1:10" x14ac:dyDescent="0.35">
      <c r="A28" t="s">
        <v>15</v>
      </c>
      <c r="B28" t="s">
        <v>69</v>
      </c>
      <c r="C28" t="s">
        <v>48</v>
      </c>
      <c r="D28" t="s">
        <v>133</v>
      </c>
      <c r="E28" t="s">
        <v>8</v>
      </c>
      <c r="F28" t="s">
        <v>61</v>
      </c>
      <c r="G28" t="s">
        <v>61</v>
      </c>
      <c r="H28" t="s">
        <v>134</v>
      </c>
      <c r="I28" t="s">
        <v>135</v>
      </c>
      <c r="J28" t="s">
        <v>44</v>
      </c>
    </row>
    <row r="29" spans="1:10" x14ac:dyDescent="0.35">
      <c r="A29" t="s">
        <v>15</v>
      </c>
      <c r="B29" t="s">
        <v>69</v>
      </c>
      <c r="C29" t="s">
        <v>48</v>
      </c>
      <c r="D29" t="s">
        <v>136</v>
      </c>
      <c r="E29" t="s">
        <v>8</v>
      </c>
      <c r="F29" t="s">
        <v>61</v>
      </c>
      <c r="G29" t="s">
        <v>61</v>
      </c>
      <c r="H29" t="s">
        <v>8</v>
      </c>
      <c r="I29" t="s">
        <v>137</v>
      </c>
      <c r="J29" t="s">
        <v>44</v>
      </c>
    </row>
    <row r="30" spans="1:10" x14ac:dyDescent="0.35">
      <c r="A30" t="s">
        <v>15</v>
      </c>
      <c r="B30" t="s">
        <v>69</v>
      </c>
      <c r="C30" t="s">
        <v>65</v>
      </c>
      <c r="D30" t="s">
        <v>138</v>
      </c>
      <c r="E30" t="s">
        <v>8</v>
      </c>
      <c r="F30" t="s">
        <v>61</v>
      </c>
      <c r="G30" t="s">
        <v>61</v>
      </c>
      <c r="H30" t="s">
        <v>8</v>
      </c>
      <c r="I30" t="s">
        <v>120</v>
      </c>
      <c r="J30" t="s">
        <v>68</v>
      </c>
    </row>
    <row r="31" spans="1:10" x14ac:dyDescent="0.35">
      <c r="A31" t="s">
        <v>15</v>
      </c>
      <c r="B31" t="s">
        <v>69</v>
      </c>
      <c r="C31" t="s">
        <v>65</v>
      </c>
      <c r="D31" t="s">
        <v>139</v>
      </c>
      <c r="E31" t="s">
        <v>8</v>
      </c>
      <c r="F31" t="s">
        <v>61</v>
      </c>
      <c r="G31" t="s">
        <v>61</v>
      </c>
      <c r="H31" t="s">
        <v>8</v>
      </c>
      <c r="I31" t="s">
        <v>140</v>
      </c>
      <c r="J31" t="s">
        <v>68</v>
      </c>
    </row>
    <row r="32" spans="1:10" x14ac:dyDescent="0.35">
      <c r="A32" t="s">
        <v>15</v>
      </c>
      <c r="B32" t="s">
        <v>69</v>
      </c>
      <c r="C32" t="s">
        <v>36</v>
      </c>
      <c r="D32" t="s">
        <v>141</v>
      </c>
      <c r="E32" t="s">
        <v>7</v>
      </c>
      <c r="F32" t="s">
        <v>61</v>
      </c>
      <c r="G32" t="s">
        <v>61</v>
      </c>
      <c r="H32" t="s">
        <v>142</v>
      </c>
      <c r="I32" t="s">
        <v>143</v>
      </c>
      <c r="J32" t="s">
        <v>144</v>
      </c>
    </row>
    <row r="36" spans="5:5" x14ac:dyDescent="0.35">
      <c r="E36" s="5"/>
    </row>
  </sheetData>
  <dataValidations count="4">
    <dataValidation type="list" allowBlank="1" showInputMessage="1" showErrorMessage="1" sqref="E1:E1048576" xr:uid="{E6117963-FF05-4EB7-9F78-1ED5BB4ACC4F}">
      <formula1>$E$2:$E$32</formula1>
    </dataValidation>
    <dataValidation type="list" allowBlank="1" showInputMessage="1" showErrorMessage="1" sqref="A1:A1048576" xr:uid="{40E10B41-91AB-49D3-98B6-D2970AD8E5FA}">
      <formula1>$A$2:$A$32</formula1>
    </dataValidation>
    <dataValidation type="list" allowBlank="1" showInputMessage="1" showErrorMessage="1" sqref="B1:B1048576" xr:uid="{A1E5328A-BCBB-41D5-8C8B-3710F939B327}">
      <formula1>$B$2:$B$32</formula1>
    </dataValidation>
    <dataValidation type="list" allowBlank="1" showInputMessage="1" showErrorMessage="1" sqref="C1:C1048576" xr:uid="{3E3BFB5A-F0BE-447B-A152-E49E7A842EF9}">
      <formula1>$C$2:$C$32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</oddFooter>
  </headerFooter>
  <ignoredErrors>
    <ignoredError sqref="K1:L32" numberStoredAsText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G36"/>
  <sheetViews>
    <sheetView workbookViewId="0">
      <selection activeCell="C32" sqref="C32"/>
    </sheetView>
  </sheetViews>
  <sheetFormatPr defaultRowHeight="15.5" x14ac:dyDescent="0.35"/>
  <cols>
    <col min="2" max="2" width="48.08203125" bestFit="1" customWidth="1"/>
    <col min="3" max="3" width="27.1640625" bestFit="1" customWidth="1"/>
    <col min="4" max="4" width="11.83203125" bestFit="1" customWidth="1"/>
    <col min="5" max="5" width="13.4140625" bestFit="1" customWidth="1"/>
    <col min="6" max="6" width="11.1640625" bestFit="1" customWidth="1"/>
    <col min="7" max="7" width="5" bestFit="1" customWidth="1"/>
  </cols>
  <sheetData>
    <row r="2" spans="2:7" x14ac:dyDescent="0.35">
      <c r="B2" t="s">
        <v>173</v>
      </c>
    </row>
    <row r="3" spans="2:7" x14ac:dyDescent="0.35">
      <c r="B3" t="s">
        <v>1</v>
      </c>
    </row>
    <row r="5" spans="2:7" x14ac:dyDescent="0.35">
      <c r="B5" t="s">
        <v>174</v>
      </c>
    </row>
    <row r="6" spans="2:7" x14ac:dyDescent="0.35">
      <c r="B6" t="s">
        <v>175</v>
      </c>
      <c r="C6">
        <f>COUNTA(Entrada!$A$2:$A$200)</f>
        <v>31</v>
      </c>
    </row>
    <row r="7" spans="2:7" x14ac:dyDescent="0.35">
      <c r="B7" t="s">
        <v>176</v>
      </c>
      <c r="C7">
        <f>COUNTIF(Entrada!$E$2:$E$200,"Concluído")</f>
        <v>3</v>
      </c>
    </row>
    <row r="8" spans="2:7" x14ac:dyDescent="0.35">
      <c r="B8" t="s">
        <v>7</v>
      </c>
      <c r="C8">
        <f>COUNTIF(Entrada!$E$2:$E$200,"Em andamento")</f>
        <v>12</v>
      </c>
    </row>
    <row r="9" spans="2:7" x14ac:dyDescent="0.35">
      <c r="B9" t="s">
        <v>177</v>
      </c>
      <c r="C9">
        <f>COUNTIF(Entrada!$E$2:$E$200,"Não iniciado")</f>
        <v>16</v>
      </c>
    </row>
    <row r="10" spans="2:7" x14ac:dyDescent="0.35">
      <c r="B10" t="s">
        <v>178</v>
      </c>
      <c r="C10">
        <f>IFERROR(COUNTIF(Entrada!$E$2:$E$200,"Concluído")/COUNTA(Entrada!$A$2:$A$200),0)</f>
        <v>9.6774193548387094E-2</v>
      </c>
    </row>
    <row r="12" spans="2:7" x14ac:dyDescent="0.35">
      <c r="B12" t="s">
        <v>10</v>
      </c>
    </row>
    <row r="13" spans="2:7" x14ac:dyDescent="0.35">
      <c r="D13" t="s">
        <v>6</v>
      </c>
      <c r="E13" t="s">
        <v>7</v>
      </c>
      <c r="F13" t="s">
        <v>8</v>
      </c>
      <c r="G13" t="s">
        <v>9</v>
      </c>
    </row>
    <row r="14" spans="2:7" x14ac:dyDescent="0.35">
      <c r="B14" t="s">
        <v>12</v>
      </c>
      <c r="D14">
        <f>COUNTIFS(Entrada!$A$2:$A$200,"Meta 1 — Manual de Padronização",Entrada!$E$2:$E$200,"Concluído")</f>
        <v>2</v>
      </c>
      <c r="E14">
        <f>COUNTIFS(Entrada!$A$2:$A$200,"Meta 1 — Manual de Padronização",Entrada!$E$2:$E$200,"Em andamento")</f>
        <v>1</v>
      </c>
      <c r="F14">
        <f>COUNTIFS(Entrada!$A$2:$A$200,"Meta 1 — Manual de Padronização",Entrada!$E$2:$E$200,"Não iniciado")</f>
        <v>4</v>
      </c>
      <c r="G14">
        <f>COUNTIF(Entrada!$A$2:$A$200,"Meta 1 — Manual de Padronização")</f>
        <v>7</v>
      </c>
    </row>
    <row r="15" spans="2:7" x14ac:dyDescent="0.35">
      <c r="B15" t="s">
        <v>171</v>
      </c>
      <c r="D15">
        <f>COUNTIFS(Entrada!$A$2:$A$200,"Meta 2 — Ações Comerciais 2º Semestre",Entrada!$E$2:$E$200,"Concluído")</f>
        <v>1</v>
      </c>
      <c r="E15">
        <f>COUNTIFS(Entrada!$A$2:$A$200,"Meta 2 — Ações Comerciais 2º Semestre",Entrada!$E$2:$E$200,"Em andamento")</f>
        <v>4</v>
      </c>
      <c r="F15">
        <f>COUNTIFS(Entrada!$A$2:$A$200,"Meta 2 — Ações Comerciais 2º Semestre",Entrada!$E$2:$E$200,"Não iniciado")</f>
        <v>3</v>
      </c>
      <c r="G15">
        <f>COUNTIF(Entrada!$A$2:$A$200,"Meta 2 — Ações Comerciais 2º Semestre")</f>
        <v>8</v>
      </c>
    </row>
    <row r="16" spans="2:7" x14ac:dyDescent="0.35">
      <c r="B16" t="s">
        <v>14</v>
      </c>
      <c r="D16">
        <f>COUNTIFS(Entrada!$A$2:$A$200,"Meta 3 — Plataforma Condomínios",Entrada!$E$2:$E$200,"Concluído")</f>
        <v>0</v>
      </c>
      <c r="E16">
        <f>COUNTIFS(Entrada!$A$2:$A$200,"Meta 3 — Plataforma Condomínios",Entrada!$E$2:$E$200,"Em andamento")</f>
        <v>3</v>
      </c>
      <c r="F16">
        <f>COUNTIFS(Entrada!$A$2:$A$200,"Meta 3 — Plataforma Condomínios",Entrada!$E$2:$E$200,"Não iniciado")</f>
        <v>4</v>
      </c>
      <c r="G16">
        <f>COUNTIF(Entrada!$A$2:$A$200,"Meta 3 — Plataforma Condomínios")</f>
        <v>7</v>
      </c>
    </row>
    <row r="17" spans="2:7" x14ac:dyDescent="0.35">
      <c r="B17" t="s">
        <v>15</v>
      </c>
      <c r="D17">
        <f>COUNTIFS(Entrada!$A$2:$A$200,"Meta 4 — Canal Minha Revenda",Entrada!$E$2:$E$200,"Concluído")</f>
        <v>0</v>
      </c>
      <c r="E17">
        <f>COUNTIFS(Entrada!$A$2:$A$200,"Meta 4 — Canal Minha Revenda",Entrada!$E$2:$E$200,"Em andamento")</f>
        <v>4</v>
      </c>
      <c r="F17">
        <f>COUNTIFS(Entrada!$A$2:$A$200,"Meta 4 — Canal Minha Revenda",Entrada!$E$2:$E$200,"Não iniciado")</f>
        <v>5</v>
      </c>
      <c r="G17">
        <f>COUNTIF(Entrada!$A$2:$A$200,"Meta 4 — Canal Minha Revenda")</f>
        <v>9</v>
      </c>
    </row>
    <row r="19" spans="2:7" x14ac:dyDescent="0.35">
      <c r="B19" t="s">
        <v>179</v>
      </c>
    </row>
    <row r="20" spans="2:7" x14ac:dyDescent="0.35">
      <c r="D20" t="s">
        <v>6</v>
      </c>
      <c r="E20" t="s">
        <v>7</v>
      </c>
      <c r="F20" t="s">
        <v>8</v>
      </c>
      <c r="G20" t="s">
        <v>9</v>
      </c>
    </row>
    <row r="21" spans="2:7" x14ac:dyDescent="0.35">
      <c r="B21" t="s">
        <v>36</v>
      </c>
      <c r="D21">
        <f>COUNTIFS(Entrada!$C$2:$C$200,"80%",Entrada!$E$2:$E$200,"Concluído")</f>
        <v>3</v>
      </c>
      <c r="E21">
        <f>COUNTIFS(Entrada!$C$2:$C$200,"80%",Entrada!$E$2:$E$200,"Em andamento")</f>
        <v>9</v>
      </c>
      <c r="F21">
        <f>COUNTIFS(Entrada!$C$2:$C$200,"80%",Entrada!$E$2:$E$200,"Não iniciado")</f>
        <v>1</v>
      </c>
      <c r="G21">
        <f>COUNTIF(Entrada!$C$2:$C$200,"80%")</f>
        <v>13</v>
      </c>
    </row>
    <row r="22" spans="2:7" x14ac:dyDescent="0.35">
      <c r="B22" t="s">
        <v>48</v>
      </c>
      <c r="D22">
        <f>COUNTIFS(Entrada!$C$2:$C$200,"100%",Entrada!$E$2:$E$200,"Concluído")</f>
        <v>0</v>
      </c>
      <c r="E22">
        <f>COUNTIFS(Entrada!$C$2:$C$200,"100%",Entrada!$E$2:$E$200,"Em andamento")</f>
        <v>3</v>
      </c>
      <c r="F22">
        <f>COUNTIFS(Entrada!$C$2:$C$200,"100%",Entrada!$E$2:$E$200,"Não iniciado")</f>
        <v>9</v>
      </c>
      <c r="G22">
        <f>COUNTIF(Entrada!$C$2:$C$200,"100%")</f>
        <v>12</v>
      </c>
    </row>
    <row r="23" spans="2:7" x14ac:dyDescent="0.35">
      <c r="B23" t="s">
        <v>65</v>
      </c>
      <c r="D23">
        <f>COUNTIFS(Entrada!$C$2:$C$200,"120%",Entrada!$E$2:$E$200,"Concluído")</f>
        <v>0</v>
      </c>
      <c r="E23">
        <f>COUNTIFS(Entrada!$C$2:$C$200,"120%",Entrada!$E$2:$E$200,"Em andamento")</f>
        <v>0</v>
      </c>
      <c r="F23">
        <f>COUNTIFS(Entrada!$C$2:$C$200,"120%",Entrada!$E$2:$E$200,"Não iniciado")</f>
        <v>6</v>
      </c>
      <c r="G23">
        <f>COUNTIF(Entrada!$C$2:$C$200,"120%")</f>
        <v>6</v>
      </c>
    </row>
    <row r="25" spans="2:7" x14ac:dyDescent="0.35">
      <c r="B25" t="s">
        <v>180</v>
      </c>
    </row>
    <row r="26" spans="2:7" x14ac:dyDescent="0.35">
      <c r="C26" t="s">
        <v>181</v>
      </c>
      <c r="D26" t="s">
        <v>182</v>
      </c>
    </row>
    <row r="27" spans="2:7" x14ac:dyDescent="0.35">
      <c r="B27" t="s">
        <v>12</v>
      </c>
      <c r="C27" s="2">
        <v>0.05</v>
      </c>
      <c r="D27">
        <f>IFERROR(COUNTIFS(Entrada!$A$2:$A$200,"Meta 1 — Manual de Padronização",Entrada!$E$2:$E$200,"Concluído")/COUNTIF(Entrada!$A$2:$A$200,"Meta 1 — Manual de Padronização"),0)</f>
        <v>0.2857142857142857</v>
      </c>
    </row>
    <row r="28" spans="2:7" x14ac:dyDescent="0.35">
      <c r="B28" t="s">
        <v>171</v>
      </c>
      <c r="C28" t="s">
        <v>69</v>
      </c>
      <c r="D28">
        <f>IFERROR(COUNTIFS(Entrada!$A$2:$A$200,"Meta 2 — Ações Comerciais 2º Semestre",Entrada!$E$2:$E$200,"Concluído")/COUNTIF(Entrada!$A$2:$A$200,"Meta 2 — Ações Comerciais 2º Semestre"),0)</f>
        <v>0.125</v>
      </c>
    </row>
    <row r="29" spans="2:7" x14ac:dyDescent="0.35">
      <c r="B29" t="s">
        <v>14</v>
      </c>
      <c r="C29" t="s">
        <v>69</v>
      </c>
      <c r="D29">
        <f>IFERROR(COUNTIFS(Entrada!$A$2:$A$200,"Meta 3 — Plataforma Condomínios",Entrada!$E$2:$E$200,"Concluído")/COUNTIF(Entrada!$A$2:$A$200,"Meta 3 — Plataforma Condomínios"),0)</f>
        <v>0</v>
      </c>
    </row>
    <row r="30" spans="2:7" x14ac:dyDescent="0.35">
      <c r="B30" t="s">
        <v>15</v>
      </c>
      <c r="C30" t="s">
        <v>69</v>
      </c>
      <c r="D30">
        <f>IFERROR(COUNTIFS(Entrada!$A$2:$A$200,"Meta 4 — Canal Minha Revenda",Entrada!$E$2:$E$200,"Concluído")/COUNTIF(Entrada!$A$2:$A$200,"Meta 4 — Canal Minha Revenda"),0)</f>
        <v>0</v>
      </c>
    </row>
    <row r="32" spans="2:7" x14ac:dyDescent="0.35">
      <c r="B32" t="s">
        <v>16</v>
      </c>
    </row>
    <row r="33" spans="2:3" x14ac:dyDescent="0.35">
      <c r="B33" t="s">
        <v>19</v>
      </c>
      <c r="C33" t="s">
        <v>183</v>
      </c>
    </row>
    <row r="34" spans="2:3" x14ac:dyDescent="0.35">
      <c r="B34" t="s">
        <v>21</v>
      </c>
      <c r="C34" t="s">
        <v>184</v>
      </c>
    </row>
    <row r="35" spans="2:3" x14ac:dyDescent="0.35">
      <c r="B35" t="s">
        <v>23</v>
      </c>
      <c r="C35" t="s">
        <v>185</v>
      </c>
    </row>
    <row r="36" spans="2:3" x14ac:dyDescent="0.35">
      <c r="B36" s="1">
        <v>46065</v>
      </c>
      <c r="C36" t="s">
        <v>186</v>
      </c>
    </row>
  </sheetData>
  <pageMargins left="0.511811024" right="0.511811024" top="0.78740157499999996" bottom="0.78740157499999996" header="0.31496062000000002" footer="0.31496062000000002"/>
  <headerFooter>
    <oddFooter>&amp;L_x000D_&amp;1#&amp;"Aptos"&amp;10&amp;K000000 Classificação: Público</oddFooter>
  </headerFooter>
  <ignoredErrors>
    <ignoredError sqref="A1:G26 A28:G36 A27:B27 D27:G27" numberStoredAsText="1"/>
  </ignoredErrors>
</worksheet>
</file>

<file path=docMetadata/LabelInfo.xml><?xml version="1.0" encoding="utf-8"?>
<clbl:labelList xmlns:clbl="http://schemas.microsoft.com/office/2020/mipLabelMetadata">
  <clbl:label id="{6c75bd44-d848-48c3-9a6d-b84dedcfe44b}" enabled="1" method="Privileged" siteId="{6a8be92d-525c-4849-8ce7-35f812b77a5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Painel</vt:lpstr>
      <vt:lpstr>Rotina</vt:lpstr>
      <vt:lpstr>Entrada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Romulo Mascarenhas Campos Filho</cp:lastModifiedBy>
  <dcterms:modified xsi:type="dcterms:W3CDTF">2026-10-20T18:15:44Z</dcterms:modified>
</cp:coreProperties>
</file>