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100950576\Downloads\"/>
    </mc:Choice>
  </mc:AlternateContent>
  <xr:revisionPtr revIDLastSave="0" documentId="13_ncr:1_{26428E73-596E-4115-A3D1-AAF047DA3856}" xr6:coauthVersionLast="47" xr6:coauthVersionMax="47" xr10:uidLastSave="{00000000-0000-0000-0000-000000000000}"/>
  <bookViews>
    <workbookView xWindow="28680" yWindow="-120" windowWidth="29040" windowHeight="15720" firstSheet="2" activeTab="2" xr2:uid="{00000000-000D-0000-FFFF-FFFF00000000}"/>
  </bookViews>
  <sheets>
    <sheet name="Painel" sheetId="1" state="hidden" r:id="rId1"/>
    <sheet name="Rotina" sheetId="2" state="hidden" r:id="rId2"/>
    <sheet name="Entrada" sheetId="3" r:id="rId3"/>
    <sheet name="Dashboard" sheetId="4" state="hidden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0" i="4" l="1"/>
  <c r="D29" i="4"/>
  <c r="D28" i="4"/>
  <c r="D27" i="4"/>
  <c r="G23" i="4"/>
  <c r="F23" i="4"/>
  <c r="E23" i="4"/>
  <c r="D23" i="4"/>
  <c r="G22" i="4"/>
  <c r="F22" i="4"/>
  <c r="E22" i="4"/>
  <c r="D22" i="4"/>
  <c r="G21" i="4"/>
  <c r="F21" i="4"/>
  <c r="E21" i="4"/>
  <c r="D21" i="4"/>
  <c r="G17" i="4"/>
  <c r="F17" i="4"/>
  <c r="E17" i="4"/>
  <c r="D17" i="4"/>
  <c r="G16" i="4"/>
  <c r="F16" i="4"/>
  <c r="E16" i="4"/>
  <c r="D16" i="4"/>
  <c r="G15" i="4"/>
  <c r="F15" i="4"/>
  <c r="E15" i="4"/>
  <c r="D15" i="4"/>
  <c r="G14" i="4"/>
  <c r="F14" i="4"/>
  <c r="E14" i="4"/>
  <c r="D14" i="4"/>
  <c r="C10" i="4"/>
  <c r="C9" i="4"/>
  <c r="C8" i="4"/>
  <c r="C7" i="4"/>
  <c r="C6" i="4"/>
  <c r="E16" i="1"/>
  <c r="D16" i="1"/>
  <c r="C16" i="1"/>
  <c r="B16" i="1"/>
  <c r="E15" i="1"/>
  <c r="D15" i="1"/>
  <c r="C15" i="1"/>
  <c r="B15" i="1"/>
  <c r="E14" i="1"/>
  <c r="D14" i="1"/>
  <c r="C14" i="1"/>
  <c r="B14" i="1"/>
  <c r="D13" i="1"/>
  <c r="C13" i="1"/>
  <c r="B13" i="1"/>
  <c r="E13" i="1" s="1"/>
  <c r="B8" i="1"/>
  <c r="B7" i="1"/>
  <c r="B6" i="1"/>
  <c r="B9" i="1" s="1"/>
  <c r="C6" i="1" l="1"/>
  <c r="C7" i="1"/>
  <c r="C8" i="1"/>
  <c r="C9" i="1"/>
</calcChain>
</file>

<file path=xl/sharedStrings.xml><?xml version="1.0" encoding="utf-8"?>
<sst xmlns="http://schemas.openxmlformats.org/spreadsheetml/2006/main" count="603" uniqueCount="243">
  <si>
    <t>Meta</t>
  </si>
  <si>
    <t>Peso</t>
  </si>
  <si>
    <t>Nível</t>
  </si>
  <si>
    <t>Entregável</t>
  </si>
  <si>
    <t>Status</t>
  </si>
  <si>
    <t>Responsável</t>
  </si>
  <si>
    <t>Prazo</t>
  </si>
  <si>
    <t>Pendência</t>
  </si>
  <si>
    <t>Evidência</t>
  </si>
  <si>
    <t>Risco</t>
  </si>
  <si>
    <t>Preencha apenas esta aba. Use as listas suspensas das colunas Meta, Nível e Status.</t>
  </si>
  <si>
    <t>Meta 1 — Manual de Padronização</t>
  </si>
  <si>
    <t>5%</t>
  </si>
  <si>
    <t>80%</t>
  </si>
  <si>
    <t>Manual revisado e estruturado para validação da Diretoria Comercial</t>
  </si>
  <si>
    <t>Em andamento</t>
  </si>
  <si>
    <t>Hoodu</t>
  </si>
  <si>
    <t>Depende da reunião 22/10</t>
  </si>
  <si>
    <t>Primeira versão reprovada pelo Augusto; nova versão para votação dos revendedores em 22/10</t>
  </si>
  <si>
    <t>Apresentação na reunião do dia 22</t>
  </si>
  <si>
    <t>Reprovação na votação atrasa todos os níveis seguintes</t>
  </si>
  <si>
    <t>Alinhamento aos conceitos do Programa de Excelência</t>
  </si>
  <si>
    <t>Concluído</t>
  </si>
  <si>
    <t>—</t>
  </si>
  <si>
    <t>Nenhuma</t>
  </si>
  <si>
    <t>Consta na primeira versão do manual</t>
  </si>
  <si>
    <t>Orientações visuais, técnicas e operacionais para a rede</t>
  </si>
  <si>
    <t>100%</t>
  </si>
  <si>
    <t>Aprovação do manual pela Diretoria Comercial</t>
  </si>
  <si>
    <t>Não iniciado</t>
  </si>
  <si>
    <t>Diretoria Comercial</t>
  </si>
  <si>
    <t>Após 22/10</t>
  </si>
  <si>
    <t>Depende da aprovação na votação</t>
  </si>
  <si>
    <t>Ata de aprovação</t>
  </si>
  <si>
    <t>Reprovação ou atraso da reunião</t>
  </si>
  <si>
    <t>Inclusão do Pratinha sem alteração de identidade</t>
  </si>
  <si>
    <t>Após aprovação</t>
  </si>
  <si>
    <t>Depende do manual aprovado</t>
  </si>
  <si>
    <t>Versão final do manual</t>
  </si>
  <si>
    <t>Atraso em cadeia da Meta 1</t>
  </si>
  <si>
    <t>Disponibilização digital e distribuição física (1 exemplar por Consultor, GV e GM; 5 para a Matriz)</t>
  </si>
  <si>
    <t>A definir</t>
  </si>
  <si>
    <t>Quantitativos a confirmar</t>
  </si>
  <si>
    <t>Comprovantes de distribuição</t>
  </si>
  <si>
    <t>Prazo apertado até 30/11</t>
  </si>
  <si>
    <t>120%</t>
  </si>
  <si>
    <t>Dois guias rápidos ou materiais de consulta para a rede</t>
  </si>
  <si>
    <t>Materiais publicados</t>
  </si>
  <si>
    <t>Risco de não entrega no nível 120%</t>
  </si>
  <si>
    <t>Meta 2 — Ações Comerciais 2º Semestre</t>
  </si>
  <si>
    <t>10%</t>
  </si>
  <si>
    <t>Planejamento das ações do 2º semestre validado pela Diretoria Comercial</t>
  </si>
  <si>
    <t>Rômulo</t>
  </si>
  <si>
    <t>Planejamento enviado ao Augusto</t>
  </si>
  <si>
    <t>Lista de brindes no padrão visual e formato do Manual de Padronização</t>
  </si>
  <si>
    <t>Lista final</t>
  </si>
  <si>
    <t>Atraso na lista compromete as ações de fim de ano</t>
  </si>
  <si>
    <t>Confirmação de todas as ações e consolidação das evidências</t>
  </si>
  <si>
    <t>Caroline</t>
  </si>
  <si>
    <t>Confirmar as ações obrigatórias: Natal, Dia das Crianças, 3 Raspadinhas, 1 Fardamento (até setembro)</t>
  </si>
  <si>
    <t>Evidências das ações</t>
  </si>
  <si>
    <t>Falta de evidências para comprovação no SGD</t>
  </si>
  <si>
    <t>Atualização periódica do planejamento</t>
  </si>
  <si>
    <t>Semanal</t>
  </si>
  <si>
    <t>Rotina a formalizar</t>
  </si>
  <si>
    <t>Planilha/registro atualizado</t>
  </si>
  <si>
    <t>Registro das ações executadas e das pendências</t>
  </si>
  <si>
    <t>Caroline, Ligia, Patricia</t>
  </si>
  <si>
    <t>Definir ferramenta de controle: ata de reunião ou Power Apps</t>
  </si>
  <si>
    <t>Registro padronizado</t>
  </si>
  <si>
    <t>Ferramenta indefinida gera registros inconsistentes</t>
  </si>
  <si>
    <t>Consolidação dos valores previstos e realizados (R$)</t>
  </si>
  <si>
    <t>Consolidar dados financeiros das ações</t>
  </si>
  <si>
    <t>Planilha financeira consolidada</t>
  </si>
  <si>
    <t>Dados financeiros incompletos</t>
  </si>
  <si>
    <t>Melhorias no processo de planejamento e acompanhamento</t>
  </si>
  <si>
    <t>Documento de melhorias</t>
  </si>
  <si>
    <t>Proposta de evolução das ações comerciais para 2027</t>
  </si>
  <si>
    <t>Proposta 2027</t>
  </si>
  <si>
    <t>Meta 3 — Plataforma Condomínios</t>
  </si>
  <si>
    <t>Posicionamento e proposta de valor</t>
  </si>
  <si>
    <t>Otavio</t>
  </si>
  <si>
    <t>Consolidar ativos existentes</t>
  </si>
  <si>
    <t>Book Comercial</t>
  </si>
  <si>
    <t>Identidade e arquitetura da plataforma</t>
  </si>
  <si>
    <t>Avaliar proposta da Hoodu/Goya pelo escopo completo (não apenas apresentação comercial)</t>
  </si>
  <si>
    <t>Proposta da Hoodu</t>
  </si>
  <si>
    <t>Escopo da proposta pode não cobrir o escopo completo</t>
  </si>
  <si>
    <t>Ativos prioritários desenvolvidos para validação</t>
  </si>
  <si>
    <t>Book Comercial e Executive Report concluídos; identificar o que falta desenvolver</t>
  </si>
  <si>
    <t>Book Comercial e Executive Report</t>
  </si>
  <si>
    <t>Pendência de definição do escopo completo</t>
  </si>
  <si>
    <t>Plataforma concluída com os ativos previstos para 2026</t>
  </si>
  <si>
    <t>Depende da validação da proposta Hoodu/Goya</t>
  </si>
  <si>
    <t>Plataforma finalizada</t>
  </si>
  <si>
    <t>Aprovação de orçamento e prazo</t>
  </si>
  <si>
    <t>Materiais validados e organizados para Comercial, Trade e Comunicação</t>
  </si>
  <si>
    <t>Definir como os materiais serão organizados</t>
  </si>
  <si>
    <t>Repositório de materiais</t>
  </si>
  <si>
    <t>Disponibilização dos ativos às áreas de negócio</t>
  </si>
  <si>
    <t>Comunicado de disponibilização</t>
  </si>
  <si>
    <t>Plano de evolução da plataforma para 2027</t>
  </si>
  <si>
    <t>Plano 2027</t>
  </si>
  <si>
    <t>Meta 4 — Canal Minha Revenda</t>
  </si>
  <si>
    <t>Fluxo de solicitação, aprovação e publicação</t>
  </si>
  <si>
    <t>Consolidar aprovações do fluxo</t>
  </si>
  <si>
    <t>Documento do fluxo</t>
  </si>
  <si>
    <t>Formalização das responsabilidades</t>
  </si>
  <si>
    <t>Consolidar responsabilidades por área</t>
  </si>
  <si>
    <t>Documento de responsabilidades</t>
  </si>
  <si>
    <t>Guia de utilização do canal para Nacional Gás e Holding</t>
  </si>
  <si>
    <t>Verificar conclusão do guia</t>
  </si>
  <si>
    <t>Guia finalizado</t>
  </si>
  <si>
    <t>Implantação do fluxo aprovado</t>
  </si>
  <si>
    <t>Depende do fluxo aprovado</t>
  </si>
  <si>
    <t>Fluxo implantado</t>
  </si>
  <si>
    <t>Apoio às primeiras publicações das áreas participantes</t>
  </si>
  <si>
    <t>Depende da implantação</t>
  </si>
  <si>
    <t>Registro das publicações</t>
  </si>
  <si>
    <t>Registro das publicações realizadas conforme o processo</t>
  </si>
  <si>
    <t>Log de publicações</t>
  </si>
  <si>
    <t>Plano de evolução do canal para 2027</t>
  </si>
  <si>
    <t>Proposta de indicadores de utilização do canal</t>
  </si>
  <si>
    <t>Proposta de KPIs</t>
  </si>
  <si>
    <t>Cronograma de implantação e primeiras publicações</t>
  </si>
  <si>
    <t>Califórnia enviou proposta de KV; aguardando cronograma de execução</t>
  </si>
  <si>
    <t>Proposta de KV da Califórnia</t>
  </si>
  <si>
    <t>Cronograma de execução pendente</t>
  </si>
  <si>
    <t>Consolidar histórico de investimentos e fornecedores de padronização da rede</t>
  </si>
  <si>
    <t>Levantamento sujeito à disponibilidade de informações e apoio das áreas</t>
  </si>
  <si>
    <t>Base consolidada de fornecedores e investimentos</t>
  </si>
  <si>
    <t>Dependência das áreas envolvidas</t>
  </si>
  <si>
    <t>Definir critérios de classificação das revendas</t>
  </si>
  <si>
    <t>Documento de critérios de classificação</t>
  </si>
  <si>
    <t>Mapear informações de pelo menos 20% da rede (amostra representativa)</t>
  </si>
  <si>
    <t>Depende da consolidação dos dados da rede</t>
  </si>
  <si>
    <t>Planilha de mapeamento da rede</t>
  </si>
  <si>
    <t>Amostra insuficiente compromete o diagnóstico</t>
  </si>
  <si>
    <t>Apresentar diagnóstico da rede de revendas</t>
  </si>
  <si>
    <t>Depende do mapeamento da rede</t>
  </si>
  <si>
    <t>Apresentação do diagnóstico</t>
  </si>
  <si>
    <t>Atraso no mapeamento</t>
  </si>
  <si>
    <t>Classificar as revendas por prioridade de investimento</t>
  </si>
  <si>
    <t>Depende do diagnóstico</t>
  </si>
  <si>
    <t>Matriz de priorização</t>
  </si>
  <si>
    <t>Apresentar estudo de custos por item, fornecedor e região</t>
  </si>
  <si>
    <t>Depende da base de fornecedores</t>
  </si>
  <si>
    <t>Estudo comparativo de custos</t>
  </si>
  <si>
    <t>Elaborar proposta de diretrizes para padronização e revitalização da rede em 2027</t>
  </si>
  <si>
    <t>Depende da classificação por prioridade</t>
  </si>
  <si>
    <t>Documento de diretrizes 2027</t>
  </si>
  <si>
    <t>Mapear a jornada do revendedor para acesso aos materiais de comunicação</t>
  </si>
  <si>
    <t>Mapa da jornada do revendedor</t>
  </si>
  <si>
    <t>Realizar benchmark de mercado de plataformas para parceiros (mínimo 3 empresas)</t>
  </si>
  <si>
    <t>Relatório de benchmark</t>
  </si>
  <si>
    <t>Levantar e documentar requisitos funcionais e técnicos da plataforma</t>
  </si>
  <si>
    <t>Documento de requisitos</t>
  </si>
  <si>
    <t>Elaborar briefing executivo do projeto (objetivos, escopo, público-alvo e benefícios)</t>
  </si>
  <si>
    <t>Briefing executivo</t>
  </si>
  <si>
    <t>Consolidar documento do projeto da plataforma</t>
  </si>
  <si>
    <t>Depende das entregas do nível 80%</t>
  </si>
  <si>
    <t>Documento do projeto consolidado</t>
  </si>
  <si>
    <t>Definir modelo de governança da plataforma (papéis, responsabilidades e fluxo de atualização)</t>
  </si>
  <si>
    <t>Documento de governança</t>
  </si>
  <si>
    <t>Definir os tipos de conteúdos que serão disponibilizados na plataforma</t>
  </si>
  <si>
    <t>Matriz de tipos de conteúdo</t>
  </si>
  <si>
    <t>Elaborar roadmap de implantação da plataforma dividido em fases</t>
  </si>
  <si>
    <t>Depende do documento do projeto</t>
  </si>
  <si>
    <t>Roadmap de implantação</t>
  </si>
  <si>
    <t>Obter validação do projeto pelas áreas de Marketing, Comunicação, TI e Gestão de Projetos</t>
  </si>
  <si>
    <t>Depende da conclusão do projeto</t>
  </si>
  <si>
    <t>Ata de validação das áreas</t>
  </si>
  <si>
    <t>Área não validar dentro do prazo</t>
  </si>
  <si>
    <t>Elaborar protótipo navegável (wireframe ou mockup) da plataforma</t>
  </si>
  <si>
    <t>Protótipo navegável</t>
  </si>
  <si>
    <t>Definir backlog priorizado para desenvolvimento</t>
  </si>
  <si>
    <t>Depende da validação do projeto</t>
  </si>
  <si>
    <t>Backlog priorizado</t>
  </si>
  <si>
    <t>Estimar esforço técnico e investimento necessário</t>
  </si>
  <si>
    <t>Depende do backlog</t>
  </si>
  <si>
    <t>Estimativa de esforço e investimento</t>
  </si>
  <si>
    <t>Elaborar cronograma executivo de implantação</t>
  </si>
  <si>
    <t>Depende do backlog e da estimativa</t>
  </si>
  <si>
    <t>Cronograma executivo</t>
  </si>
  <si>
    <t>Painel de Acompanhamento SGD 2026</t>
  </si>
  <si>
    <t>Deadline geral: 30/11/2026 (férias da gestora 02–22/12)</t>
  </si>
  <si>
    <t>Contagem por status</t>
  </si>
  <si>
    <t>Entregáveis</t>
  </si>
  <si>
    <t>% do total</t>
  </si>
  <si>
    <t>Total</t>
  </si>
  <si>
    <t>Status por Meta</t>
  </si>
  <si>
    <t>Meta 2 — Ações Comerciais 2º Sem.</t>
  </si>
  <si>
    <t>Marcos-chave</t>
  </si>
  <si>
    <t>Data</t>
  </si>
  <si>
    <t>Marco</t>
  </si>
  <si>
    <t>22/10/2026</t>
  </si>
  <si>
    <t>Reunião com revendedores — votação manual (padronização)</t>
  </si>
  <si>
    <t>23/10/2026</t>
  </si>
  <si>
    <t>Entrega da proposta de fluxo de acompanhamento</t>
  </si>
  <si>
    <t>30/11/2026</t>
  </si>
  <si>
    <t>Prazo final de encaminhamento de todas as entregas</t>
  </si>
  <si>
    <t>Início das férias da gestora (até 22/12)</t>
  </si>
  <si>
    <t>Fonte: aba Base (31 entregáveis). Dados atualizados semanalmente pela rotina de acompanhamento.</t>
  </si>
  <si>
    <t>Rotina de Acompanhamento SGD 2026</t>
  </si>
  <si>
    <t>Rotina semanal</t>
  </si>
  <si>
    <t>Dia</t>
  </si>
  <si>
    <t>Atividade</t>
  </si>
  <si>
    <t>Segunda-feira</t>
  </si>
  <si>
    <t>Cada responsável atualiza status, prazo e pendências da sua meta (mensagem padronizada ou formulário).</t>
  </si>
  <si>
    <t>Quarta-feira</t>
  </si>
  <si>
    <t>Rômulo consolida os dados na aba Base.</t>
  </si>
  <si>
    <t>Sexta-feira</t>
  </si>
  <si>
    <t>Publicação da visão consolidada (Painel) para a gestora.</t>
  </si>
  <si>
    <t>Marcos</t>
  </si>
  <si>
    <t>22/10</t>
  </si>
  <si>
    <t>Reunião de votação do Manual de Padronização com os revendedores.</t>
  </si>
  <si>
    <t>23/10</t>
  </si>
  <si>
    <t>Entrega da proposta de fluxo de acompanhamento.</t>
  </si>
  <si>
    <t>30/11</t>
  </si>
  <si>
    <t>Deadline geral de encaminhamento das entregas.</t>
  </si>
  <si>
    <t>02–22/12</t>
  </si>
  <si>
    <t>Férias da gestora.</t>
  </si>
  <si>
    <t>Papéis e responsabilidades</t>
  </si>
  <si>
    <t>Papel</t>
  </si>
  <si>
    <t>Responsabilidade</t>
  </si>
  <si>
    <t>Responsáveis de cada entrega</t>
  </si>
  <si>
    <t>Execução e cumprimento de prazos.</t>
  </si>
  <si>
    <t>Área de Dados (Rômulo)</t>
  </si>
  <si>
    <t>Estruturação, organização e acompanhamento das informações.</t>
  </si>
  <si>
    <t>Painel SGD 2026</t>
  </si>
  <si>
    <t>KPIs</t>
  </si>
  <si>
    <t>Total de entregáveis</t>
  </si>
  <si>
    <t>Concluídos</t>
  </si>
  <si>
    <t>Não iniciados</t>
  </si>
  <si>
    <t>% de conclusão</t>
  </si>
  <si>
    <t>Status por Nível</t>
  </si>
  <si>
    <t>Peso x Conclusão</t>
  </si>
  <si>
    <t>Peso da meta</t>
  </si>
  <si>
    <t>% concluído</t>
  </si>
  <si>
    <t>Reunião de votação do Manual</t>
  </si>
  <si>
    <t>Entrega da proposta de fluxo</t>
  </si>
  <si>
    <t>Prazo final de encaminhamento</t>
  </si>
  <si>
    <t>Início das férias da gestora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</si>
</sst>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9" fontId="0" fillId="0" borderId="0" xfId="0" applyNumberFormat="1"/>
    <xf numFmtId="0" fontId="1" fillId="0" borderId="0" xfId="0" applyFont="1"/>
    <xf numFmtId="0" fontId="1" fillId="0" borderId="1" xfId="0" applyFont="1" applyBorder="1"/>
    <xf numFmtId="0" fontId="0" fillId="0" borderId="1" xfId="0" applyBorder="1"/>
  </cellXfs>
  <cellStyles count="1">
    <cellStyle name="Normal" xfId="0" builtinId="0"/>
  </cellStyles>
  <dxfs count="13">
    <dxf>
      <font>
        <b/>
        <strike val="0"/>
        <condense val="0"/>
        <extend val="0"/>
        <outline val="0"/>
        <shadow val="0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1" displayName="Tabela1" ref="A1:J52" totalsRowShown="0" headerRowDxfId="0" headerRowBorderDxfId="12" tableBorderDxfId="11">
  <autoFilter ref="A1:J52" xr:uid="{00000000-0009-0000-0100-000001000000}"/>
  <tableColumns count="10">
    <tableColumn id="1" xr3:uid="{00000000-0010-0000-0000-000001000000}" name="Meta" dataDxfId="10"/>
    <tableColumn id="2" xr3:uid="{00000000-0010-0000-0000-000002000000}" name="Peso" dataDxfId="9"/>
    <tableColumn id="3" xr3:uid="{00000000-0010-0000-0000-000003000000}" name="Nível" dataDxfId="8"/>
    <tableColumn id="4" xr3:uid="{00000000-0010-0000-0000-000004000000}" name="Entregável" dataDxfId="7"/>
    <tableColumn id="5" xr3:uid="{00000000-0010-0000-0000-000005000000}" name="Status" dataDxfId="6"/>
    <tableColumn id="6" xr3:uid="{00000000-0010-0000-0000-000006000000}" name="Responsável" dataDxfId="5"/>
    <tableColumn id="7" xr3:uid="{00000000-0010-0000-0000-000007000000}" name="Prazo" dataDxfId="4"/>
    <tableColumn id="8" xr3:uid="{00000000-0010-0000-0000-000008000000}" name="Pendência" dataDxfId="3"/>
    <tableColumn id="9" xr3:uid="{00000000-0010-0000-0000-000009000000}" name="Evidência" dataDxfId="2"/>
    <tableColumn id="10" xr3:uid="{00000000-0010-0000-0000-00000A000000}" name="Risco" dataDxfId="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5"/>
  <sheetViews>
    <sheetView workbookViewId="0">
      <selection activeCell="A19" sqref="A19"/>
    </sheetView>
  </sheetViews>
  <sheetFormatPr defaultRowHeight="15.5" x14ac:dyDescent="0.35"/>
  <cols>
    <col min="1" max="1" width="85.5" bestFit="1" customWidth="1"/>
    <col min="2" max="2" width="52.75" bestFit="1" customWidth="1"/>
    <col min="3" max="3" width="13.4140625" bestFit="1" customWidth="1"/>
    <col min="4" max="4" width="11.1640625" bestFit="1" customWidth="1"/>
    <col min="5" max="5" width="5" bestFit="1" customWidth="1"/>
  </cols>
  <sheetData>
    <row r="1" spans="1:5" x14ac:dyDescent="0.35">
      <c r="A1" t="s">
        <v>184</v>
      </c>
    </row>
    <row r="2" spans="1:5" x14ac:dyDescent="0.35">
      <c r="A2" t="s">
        <v>185</v>
      </c>
    </row>
    <row r="4" spans="1:5" x14ac:dyDescent="0.35">
      <c r="A4" t="s">
        <v>186</v>
      </c>
    </row>
    <row r="5" spans="1:5" x14ac:dyDescent="0.35">
      <c r="A5" t="s">
        <v>4</v>
      </c>
      <c r="B5" t="s">
        <v>187</v>
      </c>
      <c r="C5" t="s">
        <v>188</v>
      </c>
    </row>
    <row r="6" spans="1:5" x14ac:dyDescent="0.35">
      <c r="A6" t="s">
        <v>22</v>
      </c>
      <c r="B6" t="e">
        <f>COUNTIF(#REF!,"Concluído")</f>
        <v>#REF!</v>
      </c>
      <c r="C6" t="e">
        <f>IF($B$9=0,0,B6/$B$9)</f>
        <v>#REF!</v>
      </c>
    </row>
    <row r="7" spans="1:5" x14ac:dyDescent="0.35">
      <c r="A7" t="s">
        <v>15</v>
      </c>
      <c r="B7" t="e">
        <f>COUNTIF(#REF!,"Em andamento")</f>
        <v>#REF!</v>
      </c>
      <c r="C7" t="e">
        <f>IF($B$9=0,0,B7/$B$9)</f>
        <v>#REF!</v>
      </c>
    </row>
    <row r="8" spans="1:5" x14ac:dyDescent="0.35">
      <c r="A8" t="s">
        <v>29</v>
      </c>
      <c r="B8" t="e">
        <f>COUNTIF(#REF!,"Não iniciado")</f>
        <v>#REF!</v>
      </c>
      <c r="C8" t="e">
        <f>IF($B$9=0,0,B8/$B$9)</f>
        <v>#REF!</v>
      </c>
    </row>
    <row r="9" spans="1:5" x14ac:dyDescent="0.35">
      <c r="A9" t="s">
        <v>189</v>
      </c>
      <c r="B9" t="e">
        <f>SUM(B6:B8)</f>
        <v>#REF!</v>
      </c>
      <c r="C9" t="e">
        <f>IF(B9=0,0,1)</f>
        <v>#REF!</v>
      </c>
    </row>
    <row r="11" spans="1:5" x14ac:dyDescent="0.35">
      <c r="A11" t="s">
        <v>190</v>
      </c>
    </row>
    <row r="12" spans="1:5" x14ac:dyDescent="0.35">
      <c r="A12" t="s">
        <v>0</v>
      </c>
      <c r="B12" t="s">
        <v>22</v>
      </c>
      <c r="C12" t="s">
        <v>15</v>
      </c>
      <c r="D12" t="s">
        <v>29</v>
      </c>
      <c r="E12" t="s">
        <v>189</v>
      </c>
    </row>
    <row r="13" spans="1:5" x14ac:dyDescent="0.35">
      <c r="A13" t="s">
        <v>11</v>
      </c>
      <c r="B13" t="e">
        <f>COUNTIFS(#REF!,"Meta 1 — Manual de Padronização da Rede de Revendas",#REF!,"Concluído")</f>
        <v>#REF!</v>
      </c>
      <c r="C13" t="e">
        <f>COUNTIFS(#REF!,"Meta 1 — Manual de Padronização da Rede de Revendas",#REF!,"Em andamento")</f>
        <v>#REF!</v>
      </c>
      <c r="D13" t="e">
        <f>COUNTIFS(#REF!,"Meta 1 — Manual de Padronização da Rede de Revendas",#REF!,"Não iniciado")</f>
        <v>#REF!</v>
      </c>
      <c r="E13" t="e">
        <f>SUM(B13:D13)</f>
        <v>#REF!</v>
      </c>
    </row>
    <row r="14" spans="1:5" x14ac:dyDescent="0.35">
      <c r="A14" t="s">
        <v>191</v>
      </c>
      <c r="B14" t="e">
        <f>COUNTIFS(#REF!,"Meta 2 — Ações Comerciais do 2º Semestre",#REF!,"Concluído")</f>
        <v>#REF!</v>
      </c>
      <c r="C14" t="e">
        <f>COUNTIFS(#REF!,"Meta 2 — Ações Comerciais do 2º Semestre",#REF!,"Em andamento")</f>
        <v>#REF!</v>
      </c>
      <c r="D14" t="e">
        <f>COUNTIFS(#REF!,"Meta 2 — Ações Comerciais do 2º Semestre",#REF!,"Não iniciado")</f>
        <v>#REF!</v>
      </c>
      <c r="E14" t="e">
        <f>SUM(B14:D14)</f>
        <v>#REF!</v>
      </c>
    </row>
    <row r="15" spans="1:5" x14ac:dyDescent="0.35">
      <c r="A15" t="s">
        <v>79</v>
      </c>
      <c r="B15" t="e">
        <f>COUNTIFS(#REF!,"Meta 3 — Plataforma Condomínios Nacional Gás",#REF!,"Concluído")</f>
        <v>#REF!</v>
      </c>
      <c r="C15" t="e">
        <f>COUNTIFS(#REF!,"Meta 3 — Plataforma Condomínios Nacional Gás",#REF!,"Em andamento")</f>
        <v>#REF!</v>
      </c>
      <c r="D15" t="e">
        <f>COUNTIFS(#REF!,"Meta 3 — Plataforma Condomínios Nacional Gás",#REF!,"Não iniciado")</f>
        <v>#REF!</v>
      </c>
      <c r="E15" t="e">
        <f>SUM(B15:D15)</f>
        <v>#REF!</v>
      </c>
    </row>
    <row r="16" spans="1:5" x14ac:dyDescent="0.35">
      <c r="A16" t="s">
        <v>103</v>
      </c>
      <c r="B16" t="e">
        <f>COUNTIFS(#REF!,"Meta 4 — Governança do Canal Minha Revenda – Fique por Dentro",#REF!,"Concluído")</f>
        <v>#REF!</v>
      </c>
      <c r="C16" t="e">
        <f>COUNTIFS(#REF!,"Meta 4 — Governança do Canal Minha Revenda – Fique por Dentro",#REF!,"Em andamento")</f>
        <v>#REF!</v>
      </c>
      <c r="D16" t="e">
        <f>COUNTIFS(#REF!,"Meta 4 — Governança do Canal Minha Revenda – Fique por Dentro",#REF!,"Não iniciado")</f>
        <v>#REF!</v>
      </c>
      <c r="E16" t="e">
        <f>SUM(B16:D16)</f>
        <v>#REF!</v>
      </c>
    </row>
    <row r="18" spans="1:2" x14ac:dyDescent="0.35">
      <c r="A18" t="s">
        <v>192</v>
      </c>
    </row>
    <row r="19" spans="1:2" x14ac:dyDescent="0.35">
      <c r="A19" t="s">
        <v>193</v>
      </c>
      <c r="B19" t="s">
        <v>194</v>
      </c>
    </row>
    <row r="20" spans="1:2" x14ac:dyDescent="0.35">
      <c r="A20" t="s">
        <v>195</v>
      </c>
      <c r="B20" t="s">
        <v>196</v>
      </c>
    </row>
    <row r="21" spans="1:2" x14ac:dyDescent="0.35">
      <c r="A21" t="s">
        <v>197</v>
      </c>
      <c r="B21" t="s">
        <v>198</v>
      </c>
    </row>
    <row r="22" spans="1:2" x14ac:dyDescent="0.35">
      <c r="A22" t="s">
        <v>199</v>
      </c>
      <c r="B22" t="s">
        <v>200</v>
      </c>
    </row>
    <row r="23" spans="1:2" x14ac:dyDescent="0.35">
      <c r="A23" s="1">
        <v>46065</v>
      </c>
      <c r="B23" t="s">
        <v>201</v>
      </c>
    </row>
    <row r="25" spans="1:2" x14ac:dyDescent="0.35">
      <c r="A25" t="s">
        <v>202</v>
      </c>
    </row>
  </sheetData>
  <pageMargins left="0.511811024" right="0.511811024" top="0.78740157499999996" bottom="0.78740157499999996" header="0.31496062000000002" footer="0.31496062000000002"/>
  <headerFooter>
    <oddFooter>&amp;L&amp;"Aptos"&amp;10 &amp;K000000_x000D_# Classificação: Público_x000D_&amp;1#&amp;"Aptos"&amp;10&amp;K000000 Classificação: Público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9"/>
  <sheetViews>
    <sheetView workbookViewId="0">
      <selection activeCell="A17" sqref="A17"/>
    </sheetView>
  </sheetViews>
  <sheetFormatPr defaultRowHeight="15.5" x14ac:dyDescent="0.35"/>
  <cols>
    <col min="1" max="1" width="33.08203125" bestFit="1" customWidth="1"/>
    <col min="2" max="2" width="90" bestFit="1" customWidth="1"/>
  </cols>
  <sheetData>
    <row r="1" spans="1:2" x14ac:dyDescent="0.35">
      <c r="A1" t="s">
        <v>203</v>
      </c>
    </row>
    <row r="3" spans="1:2" x14ac:dyDescent="0.35">
      <c r="A3" t="s">
        <v>204</v>
      </c>
    </row>
    <row r="4" spans="1:2" x14ac:dyDescent="0.35">
      <c r="A4" t="s">
        <v>205</v>
      </c>
      <c r="B4" t="s">
        <v>206</v>
      </c>
    </row>
    <row r="5" spans="1:2" x14ac:dyDescent="0.35">
      <c r="A5" t="s">
        <v>207</v>
      </c>
      <c r="B5" t="s">
        <v>208</v>
      </c>
    </row>
    <row r="6" spans="1:2" x14ac:dyDescent="0.35">
      <c r="A6" t="s">
        <v>209</v>
      </c>
      <c r="B6" t="s">
        <v>210</v>
      </c>
    </row>
    <row r="7" spans="1:2" x14ac:dyDescent="0.35">
      <c r="A7" t="s">
        <v>211</v>
      </c>
      <c r="B7" t="s">
        <v>212</v>
      </c>
    </row>
    <row r="9" spans="1:2" x14ac:dyDescent="0.35">
      <c r="A9" t="s">
        <v>213</v>
      </c>
    </row>
    <row r="10" spans="1:2" x14ac:dyDescent="0.35">
      <c r="A10" t="s">
        <v>193</v>
      </c>
      <c r="B10" t="s">
        <v>194</v>
      </c>
    </row>
    <row r="11" spans="1:2" x14ac:dyDescent="0.35">
      <c r="A11" t="s">
        <v>214</v>
      </c>
      <c r="B11" t="s">
        <v>215</v>
      </c>
    </row>
    <row r="12" spans="1:2" x14ac:dyDescent="0.35">
      <c r="A12" t="s">
        <v>216</v>
      </c>
      <c r="B12" t="s">
        <v>217</v>
      </c>
    </row>
    <row r="13" spans="1:2" x14ac:dyDescent="0.35">
      <c r="A13" t="s">
        <v>218</v>
      </c>
      <c r="B13" t="s">
        <v>219</v>
      </c>
    </row>
    <row r="14" spans="1:2" x14ac:dyDescent="0.35">
      <c r="A14" t="s">
        <v>220</v>
      </c>
      <c r="B14" t="s">
        <v>221</v>
      </c>
    </row>
    <row r="16" spans="1:2" x14ac:dyDescent="0.35">
      <c r="A16" t="s">
        <v>222</v>
      </c>
    </row>
    <row r="17" spans="1:2" x14ac:dyDescent="0.35">
      <c r="A17" t="s">
        <v>223</v>
      </c>
      <c r="B17" t="s">
        <v>224</v>
      </c>
    </row>
    <row r="18" spans="1:2" x14ac:dyDescent="0.35">
      <c r="A18" t="s">
        <v>225</v>
      </c>
      <c r="B18" t="s">
        <v>226</v>
      </c>
    </row>
    <row r="19" spans="1:2" x14ac:dyDescent="0.35">
      <c r="A19" t="s">
        <v>227</v>
      </c>
      <c r="B19" t="s">
        <v>228</v>
      </c>
    </row>
  </sheetData>
  <pageMargins left="0.511811024" right="0.511811024" top="0.78740157499999996" bottom="0.78740157499999996" header="0.31496062000000002" footer="0.31496062000000002"/>
  <headerFooter>
    <oddFooter>&amp;L&amp;"Aptos"&amp;10 &amp;K000000_x000D_# Classificação: Público_x000D_&amp;1#&amp;"Aptos"&amp;10&amp;K000000 Classificação: Público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52"/>
  <sheetViews>
    <sheetView tabSelected="1" zoomScale="74" workbookViewId="0">
      <selection activeCell="B54" sqref="B54"/>
    </sheetView>
  </sheetViews>
  <sheetFormatPr defaultRowHeight="15.5" x14ac:dyDescent="0.35"/>
  <cols>
    <col min="1" max="1" width="39" bestFit="1" customWidth="1"/>
    <col min="2" max="2" width="15.58203125" customWidth="1"/>
    <col min="3" max="3" width="14.58203125" customWidth="1"/>
    <col min="4" max="4" width="81.83203125" bestFit="1" customWidth="1"/>
    <col min="5" max="5" width="15.08203125" bestFit="1" customWidth="1"/>
    <col min="6" max="6" width="22.75" bestFit="1" customWidth="1"/>
    <col min="7" max="7" width="26.25" bestFit="1" customWidth="1"/>
    <col min="8" max="8" width="86.5" bestFit="1" customWidth="1"/>
    <col min="9" max="9" width="31.83203125" bestFit="1" customWidth="1"/>
    <col min="10" max="10" width="54.33203125" bestFit="1" customWidth="1"/>
    <col min="12" max="12" width="72" bestFit="1" customWidth="1"/>
  </cols>
  <sheetData>
    <row r="1" spans="1:12" s="3" customFormat="1" x14ac:dyDescent="0.3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L1" t="s">
        <v>10</v>
      </c>
    </row>
    <row r="2" spans="1:12" x14ac:dyDescent="0.35">
      <c r="A2" s="5" t="s">
        <v>11</v>
      </c>
      <c r="B2" s="5" t="s">
        <v>12</v>
      </c>
      <c r="C2" s="5" t="s">
        <v>13</v>
      </c>
      <c r="D2" s="5" t="s">
        <v>14</v>
      </c>
      <c r="E2" s="5" t="s">
        <v>15</v>
      </c>
      <c r="F2" s="5" t="s">
        <v>16</v>
      </c>
      <c r="G2" s="5" t="s">
        <v>17</v>
      </c>
      <c r="H2" s="5" t="s">
        <v>18</v>
      </c>
      <c r="I2" s="5" t="s">
        <v>19</v>
      </c>
      <c r="J2" s="5" t="s">
        <v>20</v>
      </c>
    </row>
    <row r="3" spans="1:12" x14ac:dyDescent="0.35">
      <c r="A3" s="5" t="s">
        <v>11</v>
      </c>
      <c r="B3" s="5" t="s">
        <v>12</v>
      </c>
      <c r="C3" s="5" t="s">
        <v>13</v>
      </c>
      <c r="D3" s="5" t="s">
        <v>21</v>
      </c>
      <c r="E3" s="5" t="s">
        <v>22</v>
      </c>
      <c r="F3" s="5" t="s">
        <v>16</v>
      </c>
      <c r="G3" s="5" t="s">
        <v>23</v>
      </c>
      <c r="H3" s="5" t="s">
        <v>24</v>
      </c>
      <c r="I3" s="5" t="s">
        <v>25</v>
      </c>
      <c r="J3" s="5" t="s">
        <v>23</v>
      </c>
    </row>
    <row r="4" spans="1:12" x14ac:dyDescent="0.35">
      <c r="A4" s="5" t="s">
        <v>11</v>
      </c>
      <c r="B4" s="5" t="s">
        <v>12</v>
      </c>
      <c r="C4" s="5" t="s">
        <v>13</v>
      </c>
      <c r="D4" s="5" t="s">
        <v>26</v>
      </c>
      <c r="E4" s="5" t="s">
        <v>22</v>
      </c>
      <c r="F4" s="5" t="s">
        <v>16</v>
      </c>
      <c r="G4" s="5" t="s">
        <v>23</v>
      </c>
      <c r="H4" s="5" t="s">
        <v>24</v>
      </c>
      <c r="I4" s="5" t="s">
        <v>25</v>
      </c>
      <c r="J4" s="5" t="s">
        <v>23</v>
      </c>
    </row>
    <row r="5" spans="1:12" x14ac:dyDescent="0.35">
      <c r="A5" s="5" t="s">
        <v>11</v>
      </c>
      <c r="B5" s="5" t="s">
        <v>12</v>
      </c>
      <c r="C5" s="5" t="s">
        <v>27</v>
      </c>
      <c r="D5" s="5" t="s">
        <v>28</v>
      </c>
      <c r="E5" s="5" t="s">
        <v>29</v>
      </c>
      <c r="F5" s="5" t="s">
        <v>30</v>
      </c>
      <c r="G5" s="5" t="s">
        <v>31</v>
      </c>
      <c r="H5" s="5" t="s">
        <v>32</v>
      </c>
      <c r="I5" s="5" t="s">
        <v>33</v>
      </c>
      <c r="J5" s="5" t="s">
        <v>34</v>
      </c>
    </row>
    <row r="6" spans="1:12" x14ac:dyDescent="0.35">
      <c r="A6" s="5" t="s">
        <v>11</v>
      </c>
      <c r="B6" s="5" t="s">
        <v>12</v>
      </c>
      <c r="C6" s="5" t="s">
        <v>27</v>
      </c>
      <c r="D6" s="5" t="s">
        <v>35</v>
      </c>
      <c r="E6" s="5" t="s">
        <v>29</v>
      </c>
      <c r="F6" s="5" t="s">
        <v>16</v>
      </c>
      <c r="G6" s="5" t="s">
        <v>36</v>
      </c>
      <c r="H6" s="5" t="s">
        <v>37</v>
      </c>
      <c r="I6" s="5" t="s">
        <v>38</v>
      </c>
      <c r="J6" s="5" t="s">
        <v>39</v>
      </c>
    </row>
    <row r="7" spans="1:12" x14ac:dyDescent="0.35">
      <c r="A7" s="5" t="s">
        <v>11</v>
      </c>
      <c r="B7" s="5" t="s">
        <v>12</v>
      </c>
      <c r="C7" s="5" t="s">
        <v>27</v>
      </c>
      <c r="D7" s="5" t="s">
        <v>40</v>
      </c>
      <c r="E7" s="5" t="s">
        <v>29</v>
      </c>
      <c r="F7" s="5" t="s">
        <v>41</v>
      </c>
      <c r="G7" s="5" t="s">
        <v>36</v>
      </c>
      <c r="H7" s="5" t="s">
        <v>42</v>
      </c>
      <c r="I7" s="5" t="s">
        <v>43</v>
      </c>
      <c r="J7" s="5" t="s">
        <v>44</v>
      </c>
    </row>
    <row r="8" spans="1:12" x14ac:dyDescent="0.35">
      <c r="A8" s="5" t="s">
        <v>11</v>
      </c>
      <c r="B8" s="5" t="s">
        <v>12</v>
      </c>
      <c r="C8" s="5" t="s">
        <v>13</v>
      </c>
      <c r="D8" s="5" t="s">
        <v>128</v>
      </c>
      <c r="E8" s="5" t="s">
        <v>29</v>
      </c>
      <c r="F8" s="5" t="s">
        <v>41</v>
      </c>
      <c r="G8" s="5" t="s">
        <v>129</v>
      </c>
      <c r="H8" s="5" t="s">
        <v>130</v>
      </c>
      <c r="I8" s="5" t="s">
        <v>131</v>
      </c>
      <c r="J8" s="5"/>
    </row>
    <row r="9" spans="1:12" x14ac:dyDescent="0.35">
      <c r="A9" s="5" t="s">
        <v>11</v>
      </c>
      <c r="B9" s="5" t="s">
        <v>12</v>
      </c>
      <c r="C9" s="5" t="s">
        <v>13</v>
      </c>
      <c r="D9" s="5" t="s">
        <v>132</v>
      </c>
      <c r="E9" s="5" t="s">
        <v>29</v>
      </c>
      <c r="F9" s="5" t="s">
        <v>41</v>
      </c>
      <c r="G9" s="5" t="s">
        <v>29</v>
      </c>
      <c r="H9" s="5" t="s">
        <v>133</v>
      </c>
      <c r="I9" s="5" t="s">
        <v>23</v>
      </c>
      <c r="J9" s="5"/>
    </row>
    <row r="10" spans="1:12" x14ac:dyDescent="0.35">
      <c r="A10" s="5" t="s">
        <v>11</v>
      </c>
      <c r="B10" s="5" t="s">
        <v>12</v>
      </c>
      <c r="C10" s="5" t="s">
        <v>13</v>
      </c>
      <c r="D10" s="5" t="s">
        <v>134</v>
      </c>
      <c r="E10" s="5" t="s">
        <v>29</v>
      </c>
      <c r="F10" s="5" t="s">
        <v>41</v>
      </c>
      <c r="G10" s="5" t="s">
        <v>135</v>
      </c>
      <c r="H10" s="5" t="s">
        <v>136</v>
      </c>
      <c r="I10" s="5" t="s">
        <v>137</v>
      </c>
      <c r="J10" s="5"/>
    </row>
    <row r="11" spans="1:12" x14ac:dyDescent="0.35">
      <c r="A11" s="5" t="s">
        <v>11</v>
      </c>
      <c r="B11" s="5" t="s">
        <v>12</v>
      </c>
      <c r="C11" s="5" t="s">
        <v>27</v>
      </c>
      <c r="D11" s="5" t="s">
        <v>138</v>
      </c>
      <c r="E11" s="5" t="s">
        <v>29</v>
      </c>
      <c r="F11" s="5" t="s">
        <v>41</v>
      </c>
      <c r="G11" s="5" t="s">
        <v>139</v>
      </c>
      <c r="H11" s="5" t="s">
        <v>140</v>
      </c>
      <c r="I11" s="5" t="s">
        <v>141</v>
      </c>
      <c r="J11" s="5"/>
    </row>
    <row r="12" spans="1:12" x14ac:dyDescent="0.35">
      <c r="A12" s="5" t="s">
        <v>11</v>
      </c>
      <c r="B12" s="5" t="s">
        <v>12</v>
      </c>
      <c r="C12" s="5" t="s">
        <v>27</v>
      </c>
      <c r="D12" s="5" t="s">
        <v>142</v>
      </c>
      <c r="E12" s="5" t="s">
        <v>29</v>
      </c>
      <c r="F12" s="5" t="s">
        <v>41</v>
      </c>
      <c r="G12" s="5" t="s">
        <v>143</v>
      </c>
      <c r="H12" s="5" t="s">
        <v>144</v>
      </c>
      <c r="I12" s="5" t="s">
        <v>23</v>
      </c>
      <c r="J12" s="5"/>
    </row>
    <row r="13" spans="1:12" x14ac:dyDescent="0.35">
      <c r="A13" s="5" t="s">
        <v>11</v>
      </c>
      <c r="B13" s="5" t="s">
        <v>12</v>
      </c>
      <c r="C13" s="5" t="s">
        <v>27</v>
      </c>
      <c r="D13" s="5" t="s">
        <v>145</v>
      </c>
      <c r="E13" s="5" t="s">
        <v>29</v>
      </c>
      <c r="F13" s="5" t="s">
        <v>41</v>
      </c>
      <c r="G13" s="5" t="s">
        <v>146</v>
      </c>
      <c r="H13" s="5" t="s">
        <v>147</v>
      </c>
      <c r="I13" s="5" t="s">
        <v>23</v>
      </c>
      <c r="J13" s="5"/>
    </row>
    <row r="14" spans="1:12" x14ac:dyDescent="0.35">
      <c r="A14" s="5" t="s">
        <v>11</v>
      </c>
      <c r="B14" s="5" t="s">
        <v>12</v>
      </c>
      <c r="C14" s="5" t="s">
        <v>45</v>
      </c>
      <c r="D14" s="5" t="s">
        <v>148</v>
      </c>
      <c r="E14" s="5" t="s">
        <v>29</v>
      </c>
      <c r="F14" s="5" t="s">
        <v>41</v>
      </c>
      <c r="G14" s="5" t="s">
        <v>149</v>
      </c>
      <c r="H14" s="5" t="s">
        <v>150</v>
      </c>
      <c r="I14" s="5" t="s">
        <v>48</v>
      </c>
      <c r="J14" s="5"/>
    </row>
    <row r="15" spans="1:12" x14ac:dyDescent="0.35">
      <c r="A15" s="5" t="s">
        <v>11</v>
      </c>
      <c r="B15" s="5" t="s">
        <v>12</v>
      </c>
      <c r="C15" s="5" t="s">
        <v>45</v>
      </c>
      <c r="D15" s="5" t="s">
        <v>46</v>
      </c>
      <c r="E15" s="5" t="s">
        <v>29</v>
      </c>
      <c r="F15" s="5" t="s">
        <v>41</v>
      </c>
      <c r="G15" s="5" t="s">
        <v>41</v>
      </c>
      <c r="H15" s="5" t="s">
        <v>29</v>
      </c>
      <c r="I15" s="5" t="s">
        <v>47</v>
      </c>
      <c r="J15" s="5" t="s">
        <v>48</v>
      </c>
    </row>
    <row r="16" spans="1:12" x14ac:dyDescent="0.35">
      <c r="A16" s="5" t="s">
        <v>49</v>
      </c>
      <c r="B16" s="5" t="s">
        <v>50</v>
      </c>
      <c r="C16" s="5" t="s">
        <v>13</v>
      </c>
      <c r="D16" s="5" t="s">
        <v>51</v>
      </c>
      <c r="E16" s="5" t="s">
        <v>22</v>
      </c>
      <c r="F16" s="5" t="s">
        <v>52</v>
      </c>
      <c r="G16" s="5" t="s">
        <v>23</v>
      </c>
      <c r="H16" s="5" t="s">
        <v>24</v>
      </c>
      <c r="I16" s="5" t="s">
        <v>53</v>
      </c>
      <c r="J16" s="5" t="s">
        <v>23</v>
      </c>
    </row>
    <row r="17" spans="1:10" x14ac:dyDescent="0.35">
      <c r="A17" s="5" t="s">
        <v>49</v>
      </c>
      <c r="B17" s="5" t="s">
        <v>50</v>
      </c>
      <c r="C17" s="5" t="s">
        <v>13</v>
      </c>
      <c r="D17" s="5" t="s">
        <v>54</v>
      </c>
      <c r="E17" s="5" t="s">
        <v>29</v>
      </c>
      <c r="F17" s="5" t="s">
        <v>41</v>
      </c>
      <c r="G17" s="5" t="s">
        <v>41</v>
      </c>
      <c r="H17" s="5" t="s">
        <v>29</v>
      </c>
      <c r="I17" s="5" t="s">
        <v>55</v>
      </c>
      <c r="J17" s="5" t="s">
        <v>56</v>
      </c>
    </row>
    <row r="18" spans="1:10" x14ac:dyDescent="0.35">
      <c r="A18" s="5" t="s">
        <v>49</v>
      </c>
      <c r="B18" s="5" t="s">
        <v>50</v>
      </c>
      <c r="C18" s="5" t="s">
        <v>13</v>
      </c>
      <c r="D18" s="5" t="s">
        <v>57</v>
      </c>
      <c r="E18" s="5" t="s">
        <v>15</v>
      </c>
      <c r="F18" s="5" t="s">
        <v>58</v>
      </c>
      <c r="G18" s="5" t="s">
        <v>41</v>
      </c>
      <c r="H18" s="5" t="s">
        <v>59</v>
      </c>
      <c r="I18" s="5" t="s">
        <v>60</v>
      </c>
      <c r="J18" s="5" t="s">
        <v>61</v>
      </c>
    </row>
    <row r="19" spans="1:10" x14ac:dyDescent="0.35">
      <c r="A19" s="5" t="s">
        <v>49</v>
      </c>
      <c r="B19" s="5" t="s">
        <v>50</v>
      </c>
      <c r="C19" s="5" t="s">
        <v>27</v>
      </c>
      <c r="D19" s="5" t="s">
        <v>62</v>
      </c>
      <c r="E19" s="5" t="s">
        <v>15</v>
      </c>
      <c r="F19" s="5" t="s">
        <v>58</v>
      </c>
      <c r="G19" s="5" t="s">
        <v>63</v>
      </c>
      <c r="H19" s="5" t="s">
        <v>64</v>
      </c>
      <c r="I19" s="5" t="s">
        <v>65</v>
      </c>
      <c r="J19" s="5" t="s">
        <v>23</v>
      </c>
    </row>
    <row r="20" spans="1:10" x14ac:dyDescent="0.35">
      <c r="A20" s="5" t="s">
        <v>49</v>
      </c>
      <c r="B20" s="5" t="s">
        <v>50</v>
      </c>
      <c r="C20" s="5" t="s">
        <v>27</v>
      </c>
      <c r="D20" s="5" t="s">
        <v>66</v>
      </c>
      <c r="E20" s="5" t="s">
        <v>15</v>
      </c>
      <c r="F20" s="5" t="s">
        <v>67</v>
      </c>
      <c r="G20" s="5" t="s">
        <v>41</v>
      </c>
      <c r="H20" s="5" t="s">
        <v>68</v>
      </c>
      <c r="I20" s="5" t="s">
        <v>69</v>
      </c>
      <c r="J20" s="5" t="s">
        <v>70</v>
      </c>
    </row>
    <row r="21" spans="1:10" x14ac:dyDescent="0.35">
      <c r="A21" s="5" t="s">
        <v>49</v>
      </c>
      <c r="B21" s="5" t="s">
        <v>50</v>
      </c>
      <c r="C21" s="5" t="s">
        <v>27</v>
      </c>
      <c r="D21" s="5" t="s">
        <v>71</v>
      </c>
      <c r="E21" s="5" t="s">
        <v>15</v>
      </c>
      <c r="F21" s="5" t="s">
        <v>52</v>
      </c>
      <c r="G21" s="5" t="s">
        <v>63</v>
      </c>
      <c r="H21" s="5" t="s">
        <v>72</v>
      </c>
      <c r="I21" s="5" t="s">
        <v>73</v>
      </c>
      <c r="J21" s="5" t="s">
        <v>74</v>
      </c>
    </row>
    <row r="22" spans="1:10" x14ac:dyDescent="0.35">
      <c r="A22" s="5" t="s">
        <v>49</v>
      </c>
      <c r="B22" s="5" t="s">
        <v>50</v>
      </c>
      <c r="C22" s="5" t="s">
        <v>45</v>
      </c>
      <c r="D22" s="5" t="s">
        <v>75</v>
      </c>
      <c r="E22" s="5" t="s">
        <v>29</v>
      </c>
      <c r="F22" s="5" t="s">
        <v>41</v>
      </c>
      <c r="G22" s="5" t="s">
        <v>41</v>
      </c>
      <c r="H22" s="5" t="s">
        <v>29</v>
      </c>
      <c r="I22" s="5" t="s">
        <v>76</v>
      </c>
      <c r="J22" s="5" t="s">
        <v>48</v>
      </c>
    </row>
    <row r="23" spans="1:10" x14ac:dyDescent="0.35">
      <c r="A23" s="5" t="s">
        <v>49</v>
      </c>
      <c r="B23" s="5" t="s">
        <v>50</v>
      </c>
      <c r="C23" s="5" t="s">
        <v>45</v>
      </c>
      <c r="D23" s="5" t="s">
        <v>77</v>
      </c>
      <c r="E23" s="5" t="s">
        <v>29</v>
      </c>
      <c r="F23" s="5" t="s">
        <v>41</v>
      </c>
      <c r="G23" s="5" t="s">
        <v>41</v>
      </c>
      <c r="H23" s="5" t="s">
        <v>29</v>
      </c>
      <c r="I23" s="5" t="s">
        <v>78</v>
      </c>
      <c r="J23" s="5" t="s">
        <v>48</v>
      </c>
    </row>
    <row r="24" spans="1:10" x14ac:dyDescent="0.35">
      <c r="A24" s="5" t="s">
        <v>79</v>
      </c>
      <c r="B24" s="5" t="s">
        <v>50</v>
      </c>
      <c r="C24" s="5" t="s">
        <v>13</v>
      </c>
      <c r="D24" s="5" t="s">
        <v>80</v>
      </c>
      <c r="E24" s="5" t="s">
        <v>15</v>
      </c>
      <c r="F24" s="5" t="s">
        <v>81</v>
      </c>
      <c r="G24" s="5" t="s">
        <v>41</v>
      </c>
      <c r="H24" s="5" t="s">
        <v>82</v>
      </c>
      <c r="I24" s="5" t="s">
        <v>83</v>
      </c>
      <c r="J24" s="5" t="s">
        <v>23</v>
      </c>
    </row>
    <row r="25" spans="1:10" x14ac:dyDescent="0.35">
      <c r="A25" s="5" t="s">
        <v>79</v>
      </c>
      <c r="B25" s="5" t="s">
        <v>50</v>
      </c>
      <c r="C25" s="5" t="s">
        <v>13</v>
      </c>
      <c r="D25" s="5" t="s">
        <v>84</v>
      </c>
      <c r="E25" s="5" t="s">
        <v>15</v>
      </c>
      <c r="F25" s="5" t="s">
        <v>81</v>
      </c>
      <c r="G25" s="5" t="s">
        <v>41</v>
      </c>
      <c r="H25" s="5" t="s">
        <v>85</v>
      </c>
      <c r="I25" s="5" t="s">
        <v>86</v>
      </c>
      <c r="J25" s="5" t="s">
        <v>87</v>
      </c>
    </row>
    <row r="26" spans="1:10" x14ac:dyDescent="0.35">
      <c r="A26" s="5" t="s">
        <v>79</v>
      </c>
      <c r="B26" s="5" t="s">
        <v>50</v>
      </c>
      <c r="C26" s="5" t="s">
        <v>13</v>
      </c>
      <c r="D26" s="5" t="s">
        <v>88</v>
      </c>
      <c r="E26" s="5" t="s">
        <v>15</v>
      </c>
      <c r="F26" s="5" t="s">
        <v>81</v>
      </c>
      <c r="G26" s="5" t="s">
        <v>41</v>
      </c>
      <c r="H26" s="5" t="s">
        <v>89</v>
      </c>
      <c r="I26" s="5" t="s">
        <v>90</v>
      </c>
      <c r="J26" s="5" t="s">
        <v>91</v>
      </c>
    </row>
    <row r="27" spans="1:10" x14ac:dyDescent="0.35">
      <c r="A27" s="5" t="s">
        <v>79</v>
      </c>
      <c r="B27" s="5" t="s">
        <v>50</v>
      </c>
      <c r="C27" s="5" t="s">
        <v>27</v>
      </c>
      <c r="D27" s="5" t="s">
        <v>92</v>
      </c>
      <c r="E27" s="5" t="s">
        <v>29</v>
      </c>
      <c r="F27" s="5" t="s">
        <v>81</v>
      </c>
      <c r="G27" s="5" t="s">
        <v>41</v>
      </c>
      <c r="H27" s="5" t="s">
        <v>93</v>
      </c>
      <c r="I27" s="5" t="s">
        <v>94</v>
      </c>
      <c r="J27" s="5" t="s">
        <v>95</v>
      </c>
    </row>
    <row r="28" spans="1:10" x14ac:dyDescent="0.35">
      <c r="A28" s="5" t="s">
        <v>79</v>
      </c>
      <c r="B28" s="5" t="s">
        <v>50</v>
      </c>
      <c r="C28" s="5" t="s">
        <v>27</v>
      </c>
      <c r="D28" s="5" t="s">
        <v>96</v>
      </c>
      <c r="E28" s="5" t="s">
        <v>29</v>
      </c>
      <c r="F28" s="5" t="s">
        <v>81</v>
      </c>
      <c r="G28" s="5" t="s">
        <v>41</v>
      </c>
      <c r="H28" s="5" t="s">
        <v>97</v>
      </c>
      <c r="I28" s="5" t="s">
        <v>98</v>
      </c>
      <c r="J28" s="5" t="s">
        <v>23</v>
      </c>
    </row>
    <row r="29" spans="1:10" x14ac:dyDescent="0.35">
      <c r="A29" s="5" t="s">
        <v>79</v>
      </c>
      <c r="B29" s="5" t="s">
        <v>50</v>
      </c>
      <c r="C29" s="5" t="s">
        <v>27</v>
      </c>
      <c r="D29" s="5" t="s">
        <v>99</v>
      </c>
      <c r="E29" s="5" t="s">
        <v>29</v>
      </c>
      <c r="F29" s="5" t="s">
        <v>81</v>
      </c>
      <c r="G29" s="5" t="s">
        <v>41</v>
      </c>
      <c r="H29" s="5" t="s">
        <v>29</v>
      </c>
      <c r="I29" s="5" t="s">
        <v>100</v>
      </c>
      <c r="J29" s="5" t="s">
        <v>23</v>
      </c>
    </row>
    <row r="30" spans="1:10" x14ac:dyDescent="0.35">
      <c r="A30" s="5" t="s">
        <v>79</v>
      </c>
      <c r="B30" s="5" t="s">
        <v>50</v>
      </c>
      <c r="C30" s="5" t="s">
        <v>13</v>
      </c>
      <c r="D30" s="5" t="s">
        <v>151</v>
      </c>
      <c r="E30" s="5" t="s">
        <v>29</v>
      </c>
      <c r="F30" s="5" t="s">
        <v>41</v>
      </c>
      <c r="G30" s="5" t="s">
        <v>29</v>
      </c>
      <c r="H30" s="5" t="s">
        <v>152</v>
      </c>
      <c r="I30" s="5" t="s">
        <v>23</v>
      </c>
      <c r="J30" s="5"/>
    </row>
    <row r="31" spans="1:10" x14ac:dyDescent="0.35">
      <c r="A31" s="5" t="s">
        <v>79</v>
      </c>
      <c r="B31" s="5" t="s">
        <v>50</v>
      </c>
      <c r="C31" s="5" t="s">
        <v>13</v>
      </c>
      <c r="D31" s="5" t="s">
        <v>153</v>
      </c>
      <c r="E31" s="5" t="s">
        <v>29</v>
      </c>
      <c r="F31" s="5" t="s">
        <v>41</v>
      </c>
      <c r="G31" s="5" t="s">
        <v>29</v>
      </c>
      <c r="H31" s="5" t="s">
        <v>154</v>
      </c>
      <c r="I31" s="5" t="s">
        <v>23</v>
      </c>
      <c r="J31" s="5"/>
    </row>
    <row r="32" spans="1:10" x14ac:dyDescent="0.35">
      <c r="A32" s="5" t="s">
        <v>79</v>
      </c>
      <c r="B32" s="5" t="s">
        <v>50</v>
      </c>
      <c r="C32" s="5" t="s">
        <v>13</v>
      </c>
      <c r="D32" s="5" t="s">
        <v>155</v>
      </c>
      <c r="E32" s="5" t="s">
        <v>29</v>
      </c>
      <c r="F32" s="5" t="s">
        <v>41</v>
      </c>
      <c r="G32" s="5" t="s">
        <v>29</v>
      </c>
      <c r="H32" s="5" t="s">
        <v>156</v>
      </c>
      <c r="I32" s="5" t="s">
        <v>23</v>
      </c>
      <c r="J32" s="5"/>
    </row>
    <row r="33" spans="1:10" x14ac:dyDescent="0.35">
      <c r="A33" s="5" t="s">
        <v>79</v>
      </c>
      <c r="B33" s="5" t="s">
        <v>50</v>
      </c>
      <c r="C33" s="5" t="s">
        <v>13</v>
      </c>
      <c r="D33" s="5" t="s">
        <v>157</v>
      </c>
      <c r="E33" s="5" t="s">
        <v>29</v>
      </c>
      <c r="F33" s="5" t="s">
        <v>41</v>
      </c>
      <c r="G33" s="5" t="s">
        <v>29</v>
      </c>
      <c r="H33" s="5" t="s">
        <v>158</v>
      </c>
      <c r="I33" s="5" t="s">
        <v>23</v>
      </c>
      <c r="J33" s="5"/>
    </row>
    <row r="34" spans="1:10" x14ac:dyDescent="0.35">
      <c r="A34" s="5" t="s">
        <v>79</v>
      </c>
      <c r="B34" s="5" t="s">
        <v>50</v>
      </c>
      <c r="C34" s="5" t="s">
        <v>27</v>
      </c>
      <c r="D34" s="5" t="s">
        <v>159</v>
      </c>
      <c r="E34" s="5" t="s">
        <v>29</v>
      </c>
      <c r="F34" s="5" t="s">
        <v>41</v>
      </c>
      <c r="G34" s="5" t="s">
        <v>160</v>
      </c>
      <c r="H34" s="5" t="s">
        <v>161</v>
      </c>
      <c r="I34" s="5" t="s">
        <v>23</v>
      </c>
      <c r="J34" s="5"/>
    </row>
    <row r="35" spans="1:10" x14ac:dyDescent="0.35">
      <c r="A35" s="5" t="s">
        <v>79</v>
      </c>
      <c r="B35" s="5" t="s">
        <v>50</v>
      </c>
      <c r="C35" s="5" t="s">
        <v>27</v>
      </c>
      <c r="D35" s="5" t="s">
        <v>162</v>
      </c>
      <c r="E35" s="5" t="s">
        <v>29</v>
      </c>
      <c r="F35" s="5" t="s">
        <v>41</v>
      </c>
      <c r="G35" s="5" t="s">
        <v>29</v>
      </c>
      <c r="H35" s="5" t="s">
        <v>163</v>
      </c>
      <c r="I35" s="5" t="s">
        <v>23</v>
      </c>
      <c r="J35" s="5"/>
    </row>
    <row r="36" spans="1:10" x14ac:dyDescent="0.35">
      <c r="A36" s="5" t="s">
        <v>79</v>
      </c>
      <c r="B36" s="5" t="s">
        <v>50</v>
      </c>
      <c r="C36" s="5" t="s">
        <v>27</v>
      </c>
      <c r="D36" s="5" t="s">
        <v>164</v>
      </c>
      <c r="E36" s="5" t="s">
        <v>29</v>
      </c>
      <c r="F36" s="5" t="s">
        <v>41</v>
      </c>
      <c r="G36" s="5" t="s">
        <v>29</v>
      </c>
      <c r="H36" s="5" t="s">
        <v>165</v>
      </c>
      <c r="I36" s="5" t="s">
        <v>23</v>
      </c>
      <c r="J36" s="5"/>
    </row>
    <row r="37" spans="1:10" x14ac:dyDescent="0.35">
      <c r="A37" s="5" t="s">
        <v>79</v>
      </c>
      <c r="B37" s="5" t="s">
        <v>50</v>
      </c>
      <c r="C37" s="5" t="s">
        <v>27</v>
      </c>
      <c r="D37" s="5" t="s">
        <v>166</v>
      </c>
      <c r="E37" s="5" t="s">
        <v>29</v>
      </c>
      <c r="F37" s="5" t="s">
        <v>41</v>
      </c>
      <c r="G37" s="5" t="s">
        <v>167</v>
      </c>
      <c r="H37" s="5" t="s">
        <v>168</v>
      </c>
      <c r="I37" s="5" t="s">
        <v>23</v>
      </c>
      <c r="J37" s="5"/>
    </row>
    <row r="38" spans="1:10" x14ac:dyDescent="0.35">
      <c r="A38" s="5" t="s">
        <v>79</v>
      </c>
      <c r="B38" s="5" t="s">
        <v>50</v>
      </c>
      <c r="C38" s="5" t="s">
        <v>27</v>
      </c>
      <c r="D38" s="5" t="s">
        <v>169</v>
      </c>
      <c r="E38" s="5" t="s">
        <v>29</v>
      </c>
      <c r="F38" s="5" t="s">
        <v>41</v>
      </c>
      <c r="G38" s="5" t="s">
        <v>170</v>
      </c>
      <c r="H38" s="5" t="s">
        <v>171</v>
      </c>
      <c r="I38" s="5" t="s">
        <v>172</v>
      </c>
      <c r="J38" s="5"/>
    </row>
    <row r="39" spans="1:10" x14ac:dyDescent="0.35">
      <c r="A39" s="5" t="s">
        <v>79</v>
      </c>
      <c r="B39" s="5" t="s">
        <v>50</v>
      </c>
      <c r="C39" s="5" t="s">
        <v>45</v>
      </c>
      <c r="D39" s="5" t="s">
        <v>173</v>
      </c>
      <c r="E39" s="5" t="s">
        <v>29</v>
      </c>
      <c r="F39" s="5" t="s">
        <v>41</v>
      </c>
      <c r="G39" s="5" t="s">
        <v>29</v>
      </c>
      <c r="H39" s="5" t="s">
        <v>174</v>
      </c>
      <c r="I39" s="5" t="s">
        <v>48</v>
      </c>
      <c r="J39" s="5"/>
    </row>
    <row r="40" spans="1:10" x14ac:dyDescent="0.35">
      <c r="A40" s="5" t="s">
        <v>79</v>
      </c>
      <c r="B40" s="5" t="s">
        <v>50</v>
      </c>
      <c r="C40" s="5" t="s">
        <v>45</v>
      </c>
      <c r="D40" s="5" t="s">
        <v>175</v>
      </c>
      <c r="E40" s="5" t="s">
        <v>29</v>
      </c>
      <c r="F40" s="5" t="s">
        <v>41</v>
      </c>
      <c r="G40" s="5" t="s">
        <v>176</v>
      </c>
      <c r="H40" s="5" t="s">
        <v>177</v>
      </c>
      <c r="I40" s="5" t="s">
        <v>48</v>
      </c>
      <c r="J40" s="5"/>
    </row>
    <row r="41" spans="1:10" x14ac:dyDescent="0.35">
      <c r="A41" s="5" t="s">
        <v>79</v>
      </c>
      <c r="B41" s="5" t="s">
        <v>50</v>
      </c>
      <c r="C41" s="5" t="s">
        <v>45</v>
      </c>
      <c r="D41" s="5" t="s">
        <v>178</v>
      </c>
      <c r="E41" s="5" t="s">
        <v>29</v>
      </c>
      <c r="F41" s="5" t="s">
        <v>41</v>
      </c>
      <c r="G41" s="5" t="s">
        <v>179</v>
      </c>
      <c r="H41" s="5" t="s">
        <v>180</v>
      </c>
      <c r="I41" s="5" t="s">
        <v>48</v>
      </c>
      <c r="J41" s="5"/>
    </row>
    <row r="42" spans="1:10" x14ac:dyDescent="0.35">
      <c r="A42" s="5" t="s">
        <v>79</v>
      </c>
      <c r="B42" s="5" t="s">
        <v>50</v>
      </c>
      <c r="C42" s="5" t="s">
        <v>45</v>
      </c>
      <c r="D42" s="5" t="s">
        <v>181</v>
      </c>
      <c r="E42" s="5" t="s">
        <v>29</v>
      </c>
      <c r="F42" s="5" t="s">
        <v>41</v>
      </c>
      <c r="G42" s="5" t="s">
        <v>182</v>
      </c>
      <c r="H42" s="5" t="s">
        <v>183</v>
      </c>
      <c r="I42" s="5" t="s">
        <v>48</v>
      </c>
      <c r="J42" s="5"/>
    </row>
    <row r="43" spans="1:10" x14ac:dyDescent="0.35">
      <c r="A43" s="5" t="s">
        <v>79</v>
      </c>
      <c r="B43" s="5" t="s">
        <v>50</v>
      </c>
      <c r="C43" s="5" t="s">
        <v>45</v>
      </c>
      <c r="D43" s="5" t="s">
        <v>101</v>
      </c>
      <c r="E43" s="5" t="s">
        <v>29</v>
      </c>
      <c r="F43" s="5" t="s">
        <v>81</v>
      </c>
      <c r="G43" s="5" t="s">
        <v>41</v>
      </c>
      <c r="H43" s="5" t="s">
        <v>29</v>
      </c>
      <c r="I43" s="5" t="s">
        <v>102</v>
      </c>
      <c r="J43" s="5" t="s">
        <v>48</v>
      </c>
    </row>
    <row r="44" spans="1:10" x14ac:dyDescent="0.35">
      <c r="A44" s="5" t="s">
        <v>103</v>
      </c>
      <c r="B44" s="5" t="s">
        <v>50</v>
      </c>
      <c r="C44" s="5" t="s">
        <v>13</v>
      </c>
      <c r="D44" s="5" t="s">
        <v>104</v>
      </c>
      <c r="E44" s="5" t="s">
        <v>15</v>
      </c>
      <c r="F44" s="5" t="s">
        <v>41</v>
      </c>
      <c r="G44" s="5" t="s">
        <v>41</v>
      </c>
      <c r="H44" s="5" t="s">
        <v>105</v>
      </c>
      <c r="I44" s="5" t="s">
        <v>106</v>
      </c>
      <c r="J44" s="5" t="s">
        <v>23</v>
      </c>
    </row>
    <row r="45" spans="1:10" x14ac:dyDescent="0.35">
      <c r="A45" s="5" t="s">
        <v>103</v>
      </c>
      <c r="B45" s="5" t="s">
        <v>50</v>
      </c>
      <c r="C45" s="5" t="s">
        <v>13</v>
      </c>
      <c r="D45" s="5" t="s">
        <v>107</v>
      </c>
      <c r="E45" s="5" t="s">
        <v>15</v>
      </c>
      <c r="F45" s="5" t="s">
        <v>41</v>
      </c>
      <c r="G45" s="5" t="s">
        <v>41</v>
      </c>
      <c r="H45" s="5" t="s">
        <v>108</v>
      </c>
      <c r="I45" s="5" t="s">
        <v>109</v>
      </c>
      <c r="J45" s="5" t="s">
        <v>23</v>
      </c>
    </row>
    <row r="46" spans="1:10" x14ac:dyDescent="0.35">
      <c r="A46" s="5" t="s">
        <v>103</v>
      </c>
      <c r="B46" s="5" t="s">
        <v>50</v>
      </c>
      <c r="C46" s="5" t="s">
        <v>13</v>
      </c>
      <c r="D46" s="5" t="s">
        <v>110</v>
      </c>
      <c r="E46" s="5" t="s">
        <v>15</v>
      </c>
      <c r="F46" s="5" t="s">
        <v>41</v>
      </c>
      <c r="G46" s="5" t="s">
        <v>41</v>
      </c>
      <c r="H46" s="5" t="s">
        <v>111</v>
      </c>
      <c r="I46" s="5" t="s">
        <v>112</v>
      </c>
      <c r="J46" s="5" t="s">
        <v>23</v>
      </c>
    </row>
    <row r="47" spans="1:10" x14ac:dyDescent="0.35">
      <c r="A47" s="5" t="s">
        <v>103</v>
      </c>
      <c r="B47" s="5" t="s">
        <v>50</v>
      </c>
      <c r="C47" s="5" t="s">
        <v>27</v>
      </c>
      <c r="D47" s="5" t="s">
        <v>113</v>
      </c>
      <c r="E47" s="5" t="s">
        <v>29</v>
      </c>
      <c r="F47" s="5" t="s">
        <v>41</v>
      </c>
      <c r="G47" s="5" t="s">
        <v>41</v>
      </c>
      <c r="H47" s="5" t="s">
        <v>114</v>
      </c>
      <c r="I47" s="5" t="s">
        <v>115</v>
      </c>
      <c r="J47" s="5" t="s">
        <v>23</v>
      </c>
    </row>
    <row r="48" spans="1:10" x14ac:dyDescent="0.35">
      <c r="A48" s="5" t="s">
        <v>103</v>
      </c>
      <c r="B48" s="5" t="s">
        <v>50</v>
      </c>
      <c r="C48" s="5" t="s">
        <v>27</v>
      </c>
      <c r="D48" s="5" t="s">
        <v>116</v>
      </c>
      <c r="E48" s="5" t="s">
        <v>29</v>
      </c>
      <c r="F48" s="5" t="s">
        <v>41</v>
      </c>
      <c r="G48" s="5" t="s">
        <v>41</v>
      </c>
      <c r="H48" s="5" t="s">
        <v>117</v>
      </c>
      <c r="I48" s="5" t="s">
        <v>118</v>
      </c>
      <c r="J48" s="5" t="s">
        <v>23</v>
      </c>
    </row>
    <row r="49" spans="1:10" x14ac:dyDescent="0.35">
      <c r="A49" s="5" t="s">
        <v>103</v>
      </c>
      <c r="B49" s="5" t="s">
        <v>50</v>
      </c>
      <c r="C49" s="5" t="s">
        <v>27</v>
      </c>
      <c r="D49" s="5" t="s">
        <v>119</v>
      </c>
      <c r="E49" s="5" t="s">
        <v>29</v>
      </c>
      <c r="F49" s="5" t="s">
        <v>41</v>
      </c>
      <c r="G49" s="5" t="s">
        <v>41</v>
      </c>
      <c r="H49" s="5" t="s">
        <v>29</v>
      </c>
      <c r="I49" s="5" t="s">
        <v>120</v>
      </c>
      <c r="J49" s="5" t="s">
        <v>23</v>
      </c>
    </row>
    <row r="50" spans="1:10" x14ac:dyDescent="0.35">
      <c r="A50" s="5" t="s">
        <v>103</v>
      </c>
      <c r="B50" s="5" t="s">
        <v>50</v>
      </c>
      <c r="C50" s="5" t="s">
        <v>45</v>
      </c>
      <c r="D50" s="5" t="s">
        <v>121</v>
      </c>
      <c r="E50" s="5" t="s">
        <v>29</v>
      </c>
      <c r="F50" s="5" t="s">
        <v>41</v>
      </c>
      <c r="G50" s="5" t="s">
        <v>41</v>
      </c>
      <c r="H50" s="5" t="s">
        <v>29</v>
      </c>
      <c r="I50" s="5" t="s">
        <v>102</v>
      </c>
      <c r="J50" s="5" t="s">
        <v>48</v>
      </c>
    </row>
    <row r="51" spans="1:10" x14ac:dyDescent="0.35">
      <c r="A51" s="5" t="s">
        <v>103</v>
      </c>
      <c r="B51" s="5" t="s">
        <v>50</v>
      </c>
      <c r="C51" s="5" t="s">
        <v>45</v>
      </c>
      <c r="D51" s="5" t="s">
        <v>122</v>
      </c>
      <c r="E51" s="5" t="s">
        <v>29</v>
      </c>
      <c r="F51" s="5" t="s">
        <v>41</v>
      </c>
      <c r="G51" s="5" t="s">
        <v>41</v>
      </c>
      <c r="H51" s="5" t="s">
        <v>29</v>
      </c>
      <c r="I51" s="5" t="s">
        <v>123</v>
      </c>
      <c r="J51" s="5" t="s">
        <v>48</v>
      </c>
    </row>
    <row r="52" spans="1:10" x14ac:dyDescent="0.35">
      <c r="A52" s="5" t="s">
        <v>103</v>
      </c>
      <c r="B52" s="5" t="s">
        <v>50</v>
      </c>
      <c r="C52" s="5" t="s">
        <v>13</v>
      </c>
      <c r="D52" s="5" t="s">
        <v>124</v>
      </c>
      <c r="E52" s="5" t="s">
        <v>15</v>
      </c>
      <c r="F52" s="5" t="s">
        <v>41</v>
      </c>
      <c r="G52" s="5" t="s">
        <v>41</v>
      </c>
      <c r="H52" s="5" t="s">
        <v>125</v>
      </c>
      <c r="I52" s="5" t="s">
        <v>126</v>
      </c>
      <c r="J52" s="5" t="s">
        <v>127</v>
      </c>
    </row>
  </sheetData>
  <dataValidations count="8">
    <dataValidation type="list" allowBlank="1" showInputMessage="1" showErrorMessage="1" sqref="E53:E1048576 E1:E52" xr:uid="{00000000-0002-0000-0200-000000000000}">
      <formula1>$E$2:$E$52</formula1>
    </dataValidation>
    <dataValidation type="list" allowBlank="1" showInputMessage="1" showErrorMessage="1" sqref="A53:A1048576 A1:A52" xr:uid="{00000000-0002-0000-0200-000001000000}">
      <formula1>$A$2:$A$52</formula1>
    </dataValidation>
    <dataValidation type="list" allowBlank="1" showInputMessage="1" showErrorMessage="1" sqref="B53:B1048576 B1:B52" xr:uid="{00000000-0002-0000-0200-000002000000}">
      <formula1>$B$2:$B$52</formula1>
    </dataValidation>
    <dataValidation type="list" allowBlank="1" showInputMessage="1" showErrorMessage="1" sqref="C53:C1048576 C1:C52" xr:uid="{00000000-0002-0000-0200-000003000000}">
      <formula1>$C$2:$C$52</formula1>
    </dataValidation>
    <dataValidation type="list" allowBlank="1" sqref="E53:E200 E8:E14 E30:E42" xr:uid="{00000000-0002-0000-0200-000004000000}">
      <formula1>$E$2:$E$52</formula1>
    </dataValidation>
    <dataValidation type="list" allowBlank="1" sqref="A53:A200 A8:A14 A30:A42" xr:uid="{00000000-0002-0000-0200-000005000000}">
      <formula1>$A$2:$A$52</formula1>
    </dataValidation>
    <dataValidation type="list" allowBlank="1" sqref="B53:B200 B8:B14 B30:B42" xr:uid="{00000000-0002-0000-0200-000006000000}">
      <formula1>$B$2:$B$52</formula1>
    </dataValidation>
    <dataValidation type="list" allowBlank="1" sqref="C53:C200 C8:C14 C30:C42" xr:uid="{00000000-0002-0000-0200-000007000000}">
      <formula1>$C$2:$C$52</formula1>
    </dataValidation>
  </dataValidations>
  <pageMargins left="0.511811024" right="0.511811024" top="0.78740157499999996" bottom="0.78740157499999996" header="0.31496062000000002" footer="0.31496062000000002"/>
  <headerFooter>
    <oddFooter>&amp;L&amp;"Aptos"&amp;10 &amp;K000000_x000D_# Classificação: Público_x000D_&amp;1#&amp;"Aptos"&amp;10&amp;K000000 Classificação: Público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G36"/>
  <sheetViews>
    <sheetView workbookViewId="0">
      <selection activeCell="C32" sqref="C32"/>
    </sheetView>
  </sheetViews>
  <sheetFormatPr defaultRowHeight="15.5" x14ac:dyDescent="0.35"/>
  <cols>
    <col min="2" max="2" width="48.08203125" bestFit="1" customWidth="1"/>
    <col min="3" max="3" width="27.1640625" bestFit="1" customWidth="1"/>
    <col min="4" max="4" width="11.83203125" bestFit="1" customWidth="1"/>
    <col min="5" max="5" width="13.4140625" bestFit="1" customWidth="1"/>
    <col min="6" max="6" width="11.1640625" bestFit="1" customWidth="1"/>
    <col min="7" max="7" width="5" bestFit="1" customWidth="1"/>
  </cols>
  <sheetData>
    <row r="2" spans="2:7" x14ac:dyDescent="0.35">
      <c r="B2" t="s">
        <v>229</v>
      </c>
    </row>
    <row r="3" spans="2:7" x14ac:dyDescent="0.35">
      <c r="B3" t="s">
        <v>185</v>
      </c>
    </row>
    <row r="5" spans="2:7" x14ac:dyDescent="0.35">
      <c r="B5" t="s">
        <v>230</v>
      </c>
    </row>
    <row r="6" spans="2:7" x14ac:dyDescent="0.35">
      <c r="B6" t="s">
        <v>231</v>
      </c>
      <c r="C6">
        <f>COUNTA(Entrada!$A$2:$A$200)</f>
        <v>51</v>
      </c>
    </row>
    <row r="7" spans="2:7" x14ac:dyDescent="0.35">
      <c r="B7" t="s">
        <v>232</v>
      </c>
      <c r="C7">
        <f>COUNTIF(Entrada!$E$2:$E$200,"Concluído")</f>
        <v>3</v>
      </c>
    </row>
    <row r="8" spans="2:7" x14ac:dyDescent="0.35">
      <c r="B8" t="s">
        <v>15</v>
      </c>
      <c r="C8">
        <f>COUNTIF(Entrada!$E$2:$E$200,"Em andamento")</f>
        <v>12</v>
      </c>
    </row>
    <row r="9" spans="2:7" x14ac:dyDescent="0.35">
      <c r="B9" t="s">
        <v>233</v>
      </c>
      <c r="C9">
        <f>COUNTIF(Entrada!$E$2:$E$200,"Não iniciado")</f>
        <v>36</v>
      </c>
    </row>
    <row r="10" spans="2:7" x14ac:dyDescent="0.35">
      <c r="B10" t="s">
        <v>234</v>
      </c>
      <c r="C10">
        <f>IFERROR(COUNTIF(Entrada!$E$2:$E$200,"Concluído")/COUNTA(Entrada!$A$2:$A$200),0)</f>
        <v>5.8823529411764705E-2</v>
      </c>
    </row>
    <row r="12" spans="2:7" x14ac:dyDescent="0.35">
      <c r="B12" t="s">
        <v>190</v>
      </c>
    </row>
    <row r="13" spans="2:7" x14ac:dyDescent="0.35">
      <c r="D13" t="s">
        <v>22</v>
      </c>
      <c r="E13" t="s">
        <v>15</v>
      </c>
      <c r="F13" t="s">
        <v>29</v>
      </c>
      <c r="G13" t="s">
        <v>189</v>
      </c>
    </row>
    <row r="14" spans="2:7" x14ac:dyDescent="0.35">
      <c r="B14" t="s">
        <v>11</v>
      </c>
      <c r="D14">
        <f>COUNTIFS(Entrada!$A$2:$A$200,"Meta 1 — Manual de Padronização",Entrada!$E$2:$E$200,"Concluído")</f>
        <v>2</v>
      </c>
      <c r="E14">
        <f>COUNTIFS(Entrada!$A$2:$A$200,"Meta 1 — Manual de Padronização",Entrada!$E$2:$E$200,"Em andamento")</f>
        <v>1</v>
      </c>
      <c r="F14">
        <f>COUNTIFS(Entrada!$A$2:$A$200,"Meta 1 — Manual de Padronização",Entrada!$E$2:$E$200,"Não iniciado")</f>
        <v>11</v>
      </c>
      <c r="G14">
        <f>COUNTIF(Entrada!$A$2:$A$200,"Meta 1 — Manual de Padronização")</f>
        <v>14</v>
      </c>
    </row>
    <row r="15" spans="2:7" x14ac:dyDescent="0.35">
      <c r="B15" t="s">
        <v>49</v>
      </c>
      <c r="D15">
        <f>COUNTIFS(Entrada!$A$2:$A$200,"Meta 2 — Ações Comerciais 2º Semestre",Entrada!$E$2:$E$200,"Concluído")</f>
        <v>1</v>
      </c>
      <c r="E15">
        <f>COUNTIFS(Entrada!$A$2:$A$200,"Meta 2 — Ações Comerciais 2º Semestre",Entrada!$E$2:$E$200,"Em andamento")</f>
        <v>4</v>
      </c>
      <c r="F15">
        <f>COUNTIFS(Entrada!$A$2:$A$200,"Meta 2 — Ações Comerciais 2º Semestre",Entrada!$E$2:$E$200,"Não iniciado")</f>
        <v>3</v>
      </c>
      <c r="G15">
        <f>COUNTIF(Entrada!$A$2:$A$200,"Meta 2 — Ações Comerciais 2º Semestre")</f>
        <v>8</v>
      </c>
    </row>
    <row r="16" spans="2:7" x14ac:dyDescent="0.35">
      <c r="B16" t="s">
        <v>79</v>
      </c>
      <c r="D16">
        <f>COUNTIFS(Entrada!$A$2:$A$200,"Meta 3 — Plataforma Condomínios",Entrada!$E$2:$E$200,"Concluído")</f>
        <v>0</v>
      </c>
      <c r="E16">
        <f>COUNTIFS(Entrada!$A$2:$A$200,"Meta 3 — Plataforma Condomínios",Entrada!$E$2:$E$200,"Em andamento")</f>
        <v>3</v>
      </c>
      <c r="F16">
        <f>COUNTIFS(Entrada!$A$2:$A$200,"Meta 3 — Plataforma Condomínios",Entrada!$E$2:$E$200,"Não iniciado")</f>
        <v>17</v>
      </c>
      <c r="G16">
        <f>COUNTIF(Entrada!$A$2:$A$200,"Meta 3 — Plataforma Condomínios")</f>
        <v>20</v>
      </c>
    </row>
    <row r="17" spans="2:7" x14ac:dyDescent="0.35">
      <c r="B17" t="s">
        <v>103</v>
      </c>
      <c r="D17">
        <f>COUNTIFS(Entrada!$A$2:$A$200,"Meta 4 — Canal Minha Revenda",Entrada!$E$2:$E$200,"Concluído")</f>
        <v>0</v>
      </c>
      <c r="E17">
        <f>COUNTIFS(Entrada!$A$2:$A$200,"Meta 4 — Canal Minha Revenda",Entrada!$E$2:$E$200,"Em andamento")</f>
        <v>4</v>
      </c>
      <c r="F17">
        <f>COUNTIFS(Entrada!$A$2:$A$200,"Meta 4 — Canal Minha Revenda",Entrada!$E$2:$E$200,"Não iniciado")</f>
        <v>5</v>
      </c>
      <c r="G17">
        <f>COUNTIF(Entrada!$A$2:$A$200,"Meta 4 — Canal Minha Revenda")</f>
        <v>9</v>
      </c>
    </row>
    <row r="19" spans="2:7" x14ac:dyDescent="0.35">
      <c r="B19" t="s">
        <v>235</v>
      </c>
    </row>
    <row r="20" spans="2:7" x14ac:dyDescent="0.35">
      <c r="D20" t="s">
        <v>22</v>
      </c>
      <c r="E20" t="s">
        <v>15</v>
      </c>
      <c r="F20" t="s">
        <v>29</v>
      </c>
      <c r="G20" t="s">
        <v>189</v>
      </c>
    </row>
    <row r="21" spans="2:7" x14ac:dyDescent="0.35">
      <c r="B21" t="s">
        <v>13</v>
      </c>
      <c r="D21">
        <f>COUNTIFS(Entrada!$C$2:$C$200,"80%",Entrada!$E$2:$E$200,"Concluído")</f>
        <v>3</v>
      </c>
      <c r="E21">
        <f>COUNTIFS(Entrada!$C$2:$C$200,"80%",Entrada!$E$2:$E$200,"Em andamento")</f>
        <v>9</v>
      </c>
      <c r="F21">
        <f>COUNTIFS(Entrada!$C$2:$C$200,"80%",Entrada!$E$2:$E$200,"Não iniciado")</f>
        <v>8</v>
      </c>
      <c r="G21">
        <f>COUNTIF(Entrada!$C$2:$C$200,"80%")</f>
        <v>20</v>
      </c>
    </row>
    <row r="22" spans="2:7" x14ac:dyDescent="0.35">
      <c r="B22" t="s">
        <v>27</v>
      </c>
      <c r="D22">
        <f>COUNTIFS(Entrada!$C$2:$C$200,"100%",Entrada!$E$2:$E$200,"Concluído")</f>
        <v>0</v>
      </c>
      <c r="E22">
        <f>COUNTIFS(Entrada!$C$2:$C$200,"100%",Entrada!$E$2:$E$200,"Em andamento")</f>
        <v>3</v>
      </c>
      <c r="F22">
        <f>COUNTIFS(Entrada!$C$2:$C$200,"100%",Entrada!$E$2:$E$200,"Não iniciado")</f>
        <v>17</v>
      </c>
      <c r="G22">
        <f>COUNTIF(Entrada!$C$2:$C$200,"100%")</f>
        <v>20</v>
      </c>
    </row>
    <row r="23" spans="2:7" x14ac:dyDescent="0.35">
      <c r="B23" t="s">
        <v>45</v>
      </c>
      <c r="D23">
        <f>COUNTIFS(Entrada!$C$2:$C$200,"120%",Entrada!$E$2:$E$200,"Concluído")</f>
        <v>0</v>
      </c>
      <c r="E23">
        <f>COUNTIFS(Entrada!$C$2:$C$200,"120%",Entrada!$E$2:$E$200,"Em andamento")</f>
        <v>0</v>
      </c>
      <c r="F23">
        <f>COUNTIFS(Entrada!$C$2:$C$200,"120%",Entrada!$E$2:$E$200,"Não iniciado")</f>
        <v>11</v>
      </c>
      <c r="G23">
        <f>COUNTIF(Entrada!$C$2:$C$200,"120%")</f>
        <v>11</v>
      </c>
    </row>
    <row r="25" spans="2:7" x14ac:dyDescent="0.35">
      <c r="B25" t="s">
        <v>236</v>
      </c>
    </row>
    <row r="26" spans="2:7" x14ac:dyDescent="0.35">
      <c r="C26" t="s">
        <v>237</v>
      </c>
      <c r="D26" t="s">
        <v>238</v>
      </c>
    </row>
    <row r="27" spans="2:7" x14ac:dyDescent="0.35">
      <c r="B27" t="s">
        <v>11</v>
      </c>
      <c r="C27" s="2">
        <v>0.05</v>
      </c>
      <c r="D27">
        <f>IFERROR(COUNTIFS(Entrada!$A$2:$A$200,"Meta 1 — Manual de Padronização",Entrada!$E$2:$E$200,"Concluído")/COUNTIF(Entrada!$A$2:$A$200,"Meta 1 — Manual de Padronização"),0)</f>
        <v>0.14285714285714285</v>
      </c>
    </row>
    <row r="28" spans="2:7" x14ac:dyDescent="0.35">
      <c r="B28" t="s">
        <v>49</v>
      </c>
      <c r="C28" t="s">
        <v>50</v>
      </c>
      <c r="D28">
        <f>IFERROR(COUNTIFS(Entrada!$A$2:$A$200,"Meta 2 — Ações Comerciais 2º Semestre",Entrada!$E$2:$E$200,"Concluído")/COUNTIF(Entrada!$A$2:$A$200,"Meta 2 — Ações Comerciais 2º Semestre"),0)</f>
        <v>0.125</v>
      </c>
    </row>
    <row r="29" spans="2:7" x14ac:dyDescent="0.35">
      <c r="B29" t="s">
        <v>79</v>
      </c>
      <c r="C29" t="s">
        <v>50</v>
      </c>
      <c r="D29">
        <f>IFERROR(COUNTIFS(Entrada!$A$2:$A$200,"Meta 3 — Plataforma Condomínios",Entrada!$E$2:$E$200,"Concluído")/COUNTIF(Entrada!$A$2:$A$200,"Meta 3 — Plataforma Condomínios"),0)</f>
        <v>0</v>
      </c>
    </row>
    <row r="30" spans="2:7" x14ac:dyDescent="0.35">
      <c r="B30" t="s">
        <v>103</v>
      </c>
      <c r="C30" t="s">
        <v>50</v>
      </c>
      <c r="D30">
        <f>IFERROR(COUNTIFS(Entrada!$A$2:$A$200,"Meta 4 — Canal Minha Revenda",Entrada!$E$2:$E$200,"Concluído")/COUNTIF(Entrada!$A$2:$A$200,"Meta 4 — Canal Minha Revenda"),0)</f>
        <v>0</v>
      </c>
    </row>
    <row r="32" spans="2:7" x14ac:dyDescent="0.35">
      <c r="B32" t="s">
        <v>192</v>
      </c>
    </row>
    <row r="33" spans="2:3" x14ac:dyDescent="0.35">
      <c r="B33" t="s">
        <v>195</v>
      </c>
      <c r="C33" t="s">
        <v>239</v>
      </c>
    </row>
    <row r="34" spans="2:3" x14ac:dyDescent="0.35">
      <c r="B34" t="s">
        <v>197</v>
      </c>
      <c r="C34" t="s">
        <v>240</v>
      </c>
    </row>
    <row r="35" spans="2:3" x14ac:dyDescent="0.35">
      <c r="B35" t="s">
        <v>199</v>
      </c>
      <c r="C35" t="s">
        <v>241</v>
      </c>
    </row>
    <row r="36" spans="2:3" x14ac:dyDescent="0.35">
      <c r="B36" s="1">
        <v>46065</v>
      </c>
      <c r="C36" t="s">
        <v>242</v>
      </c>
    </row>
  </sheetData>
  <pageMargins left="0.511811024" right="0.511811024" top="0.78740157499999996" bottom="0.78740157499999996" header="0.31496062000000002" footer="0.31496062000000002"/>
  <headerFooter>
    <oddFooter>&amp;L&amp;"Aptos"&amp;10 &amp;K000000_x000D_# Classificação: Público_x000D_&amp;1#&amp;"Aptos"&amp;10&amp;K000000 Classificação: Público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D70C9F5347D51418E00AFE6DDA70DEB" ma:contentTypeVersion="12" ma:contentTypeDescription="Crie um novo documento." ma:contentTypeScope="" ma:versionID="b2d8521c2cf8f17f03f276d531676234">
  <xsd:schema xmlns:xsd="http://www.w3.org/2001/XMLSchema" xmlns:xs="http://www.w3.org/2001/XMLSchema" xmlns:p="http://schemas.microsoft.com/office/2006/metadata/properties" xmlns:ns2="c7b8e03e-1c5e-4b55-b5e8-0e88b0275558" xmlns:ns3="41901b6e-8a71-4ef2-8fbd-2e59848a297f" targetNamespace="http://schemas.microsoft.com/office/2006/metadata/properties" ma:root="true" ma:fieldsID="88267ca01168c36bcd926d84fc74d8e5" ns2:_="" ns3:_="">
    <xsd:import namespace="c7b8e03e-1c5e-4b55-b5e8-0e88b0275558"/>
    <xsd:import namespace="41901b6e-8a71-4ef2-8fbd-2e59848a297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7b8e03e-1c5e-4b55-b5e8-0e88b02755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Marcações de imagem" ma:readOnly="false" ma:fieldId="{5cf76f15-5ced-4ddc-b409-7134ff3c332f}" ma:taxonomyMulti="true" ma:sspId="eeecd48a-3561-4242-b13c-3cae0d2113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1901b6e-8a71-4ef2-8fbd-2e59848a297f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63cbba61-73b9-4d64-a16d-76c6e7e26a57}" ma:internalName="TaxCatchAll" ma:showField="CatchAllData" ma:web="41901b6e-8a71-4ef2-8fbd-2e59848a297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7b8e03e-1c5e-4b55-b5e8-0e88b0275558">
      <Terms xmlns="http://schemas.microsoft.com/office/infopath/2007/PartnerControls"/>
    </lcf76f155ced4ddcb4097134ff3c332f>
    <TaxCatchAll xmlns="41901b6e-8a71-4ef2-8fbd-2e59848a297f" xsi:nil="true"/>
  </documentManagement>
</p:properties>
</file>

<file path=customXml/itemProps1.xml><?xml version="1.0" encoding="utf-8"?>
<ds:datastoreItem xmlns:ds="http://schemas.openxmlformats.org/officeDocument/2006/customXml" ds:itemID="{B9E38014-A051-487A-A2DA-0F749D78305D}"/>
</file>

<file path=customXml/itemProps2.xml><?xml version="1.0" encoding="utf-8"?>
<ds:datastoreItem xmlns:ds="http://schemas.openxmlformats.org/officeDocument/2006/customXml" ds:itemID="{0EE65EE8-CEA7-404E-B89A-283F7EBFBF1A}"/>
</file>

<file path=customXml/itemProps3.xml><?xml version="1.0" encoding="utf-8"?>
<ds:datastoreItem xmlns:ds="http://schemas.openxmlformats.org/officeDocument/2006/customXml" ds:itemID="{A7A2104F-B8E5-4C5D-8117-5C16AF05F272}"/>
</file>

<file path=docMetadata/LabelInfo.xml><?xml version="1.0" encoding="utf-8"?>
<clbl:labelList xmlns:clbl="http://schemas.microsoft.com/office/2020/mipLabelMetadata">
  <clbl:label id="{6c75bd44-d848-48c3-9a6d-b84dedcfe44b}" enabled="1" method="Privileged" siteId="{6a8be92d-525c-4849-8ce7-35f812b77a5d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Painel</vt:lpstr>
      <vt:lpstr>Rotina</vt:lpstr>
      <vt:lpstr>Entrada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Romulo Mascarenhas Campos Filho</cp:lastModifiedBy>
  <dcterms:created xsi:type="dcterms:W3CDTF">2026-10-21T20:50:57Z</dcterms:created>
  <dcterms:modified xsi:type="dcterms:W3CDTF">2026-10-21T21:05:17Z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0x010100AD70C9F5347D51418E00AFE6DDA70DEB</vt:lpwstr>
  </property>
  <property fmtid="{D5CDD505-2E9C-101B-9397-08002B2CF9AE}" pid="3" name="MediaServiceImageTags">
    <vt:lpwstr/>
  </property>
</Properties>
</file>